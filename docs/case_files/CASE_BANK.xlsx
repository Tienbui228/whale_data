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SE" sheetId="1" state="visible" r:id="rId3"/>
    <sheet name="DAILY" sheetId="2" state="visible" r:id="rId4"/>
    <sheet name="EVENTS" sheetId="3" state="visible" r:id="rId5"/>
    <sheet name="TRIGGERS" sheetId="4" state="visible" r:id="rId6"/>
    <sheet name="OUTCOME" sheetId="5" state="visible" r:id="rId7"/>
    <sheet name="MM_PROFILE" sheetId="6" state="visible" r:id="rId8"/>
    <sheet name="UNLOCK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<sst xmlns="http://schemas.openxmlformats.org/spreadsheetml/2006/main" count="174" uniqueCount="163">
  <si>
    <t xml:space="preserve">CASE FILE — BANK</t>
  </si>
  <si>
    <t xml:space="preserve">Nguon: case_tracker v1.1 · verdict chi operator ghi · so kem nguon · PENDING khong doan</t>
  </si>
  <si>
    <t xml:space="preserve">Status</t>
  </si>
  <si>
    <t xml:space="preserve">TRACKING (hau-campaign — theo doi outcome)</t>
  </si>
  <si>
    <t xml:space="preserve">Loai</t>
  </si>
  <si>
    <t xml:space="preserve">pump-setup -&gt; da chay tron (+6.8x), stealth ky luc</t>
  </si>
  <si>
    <t xml:space="preserve">Ngay phat hien</t>
  </si>
  <si>
    <t xml:space="preserve">hoi to (calib 13-20/07); ho so 4 lop 29/07 (BANK_4layer.md)</t>
  </si>
  <si>
    <t xml:space="preserve">T0</t>
  </si>
  <si>
    <t xml:space="preserve">2026-07-10 ignition · px T0 ~0.056</t>
  </si>
  <si>
    <t xml:space="preserve">action_class</t>
  </si>
  <si>
    <t xml:space="preserve">WATCH-only — smart money da ra (pos 3.7-&gt;1.09 T+2..T+10)</t>
  </si>
  <si>
    <t xml:space="preserve">Vi the</t>
  </si>
  <si>
    <t xml:space="preserve">none</t>
  </si>
  <si>
    <t xml:space="preserve">Tom tat input</t>
  </si>
  <si>
    <t xml:space="preserve">Tell som nhat T-11 (Jun29) lsr_accum div 4.03/gLSR 0.73 · bait T-8 vol 13x · pin 7d, break sau T+1 · stealth T+5-6 · s3_eve negative · div dinh ~5.5 ky luc · concentration_shift KHONG ban = negative case hop le (level-type)</t>
  </si>
  <si>
    <t xml:space="preserve">Verdict (operator)</t>
  </si>
  <si>
    <t xml:space="preserve">campaign MM-BIDWALK-A hoan chinh; he bat duoc tell T-11 bang 1 lop PERP don doc — doi da lop lam DK ARMED se lot ho BANK</t>
  </si>
  <si>
    <t xml:space="preserve">Dieu gi chung minh SAI</t>
  </si>
  <si>
    <t xml:space="preserve">pos hoi &gt;2.5 ben tai nen moi = chua ra het / vong 2</t>
  </si>
  <si>
    <t xml:space="preserve">LEGEND</t>
  </si>
  <si>
    <t xml:space="preserve">O vang = operator dien/quyet · Header nau vang (sheet DAILY) = cot manual · Dong to cam (DAILY) = data_bad=1, so mang sai so · Cot cong thuc (ret_1d, div, slope, oi_vs_med14, alpha) tu tinh khi may append dong moi — copy cong thuc dong tren xuong. </t>
  </si>
  <si>
    <t xml:space="preserve">PERP (may)</t>
  </si>
  <si>
    <t xml:space="preserve">SPOT/ALPHA (may)</t>
  </si>
  <si>
    <t xml:space="preserve">ON-CHAIN (ban tu dong)</t>
  </si>
  <si>
    <t xml:space="preserve">MANUAL (operator)</t>
  </si>
  <si>
    <t xml:space="preserve">date</t>
  </si>
  <si>
    <t xml:space="preserve">px_avg</t>
  </si>
  <si>
    <t xml:space="preserve">ret_1d</t>
  </si>
  <si>
    <t xml:space="preserve">vol_perp_usd</t>
  </si>
  <si>
    <t xml:space="preserve">taker_buy_pct</t>
  </si>
  <si>
    <t xml:space="preserve">f_avg</t>
  </si>
  <si>
    <t xml:space="preserve">f_min</t>
  </si>
  <si>
    <t xml:space="preserve">f_max</t>
  </si>
  <si>
    <t xml:space="preserve">f_n</t>
  </si>
  <si>
    <t xml:space="preserve">funding_regime</t>
  </si>
  <si>
    <t xml:space="preserve">pin_streak</t>
  </si>
  <si>
    <t xml:space="preserve">oi_usd</t>
  </si>
  <si>
    <t xml:space="preserve">oi_vs_med14</t>
  </si>
  <si>
    <t xml:space="preserve">oi_cycle_pos</t>
  </si>
  <si>
    <t xml:space="preserve">lsr_pos_r</t>
  </si>
  <si>
    <t xml:space="preserve">lsr_acc_r</t>
  </si>
  <si>
    <t xml:space="preserve">lsr_global_r</t>
  </si>
  <si>
    <t xml:space="preserve">div_raw</t>
  </si>
  <si>
    <t xml:space="preserve">div_avg3</t>
  </si>
  <si>
    <t xml:space="preserve">glsr_slope_5d</t>
  </si>
  <si>
    <t xml:space="preserve">d_pos_3d</t>
  </si>
  <si>
    <t xml:space="preserve">d_acc_3d</t>
  </si>
  <si>
    <t xml:space="preserve">signals_bullish</t>
  </si>
  <si>
    <t xml:space="preserve">signals_suppress</t>
  </si>
  <si>
    <t xml:space="preserve">screen_rank</t>
  </si>
  <si>
    <t xml:space="preserve">data_bad</t>
  </si>
  <si>
    <t xml:space="preserve">spot_venue</t>
  </si>
  <si>
    <t xml:space="preserve">vol_spot_usd</t>
  </si>
  <si>
    <t xml:space="preserve">taker_spot_pct</t>
  </si>
  <si>
    <t xml:space="preserve">depth_bid2_usd</t>
  </si>
  <si>
    <t xml:space="preserve">depth_ask2_usd</t>
  </si>
  <si>
    <t xml:space="preserve">bid_wall_px</t>
  </si>
  <si>
    <t xml:space="preserve">bid_wall_usd</t>
  </si>
  <si>
    <t xml:space="preserve">ask_wall_px</t>
  </si>
  <si>
    <t xml:space="preserve">ask_wall_usd</t>
  </si>
  <si>
    <t xml:space="preserve">alpha_suspect</t>
  </si>
  <si>
    <t xml:space="preserve">exch_balance_delta</t>
  </si>
  <si>
    <t xml:space="preserve">wallet_activity</t>
  </si>
  <si>
    <t xml:space="preserve">dominance_pct</t>
  </si>
  <si>
    <t xml:space="preserve">note_operator</t>
  </si>
  <si>
    <t xml:space="preserve">mm_note</t>
  </si>
  <si>
    <t xml:space="preserve">2026-07-26</t>
  </si>
  <si>
    <t xml:space="preserve">lsr_accum|stealth_grind|oi_ignition</t>
  </si>
  <si>
    <t xml:space="preserve">hau-markup, phan phoi dang chay</t>
  </si>
  <si>
    <t xml:space="preserve">2026-07-27</t>
  </si>
  <si>
    <t xml:space="preserve">2026-07-28</t>
  </si>
  <si>
    <t xml:space="preserve">dist_wall|post_climax</t>
  </si>
  <si>
    <t xml:space="preserve">px -31%, OI -44% — suppressor dung bai</t>
  </si>
  <si>
    <t xml:space="preserve">BACKFILL PENDING: May26-&gt;Jul25 tu export (may lam, 0 call — no #2 trong tracker). 3 dong hien tai tu dry-run P1.</t>
  </si>
  <si>
    <t xml:space="preserve">D. NHAT KY DIEN BIEN (append-only, moi nhat duoi cung)</t>
  </si>
  <si>
    <t xml:space="preserve">ngay</t>
  </si>
  <si>
    <t xml:space="preserve">su_kien_so_lieu</t>
  </si>
  <si>
    <t xml:space="preserve">nguon</t>
  </si>
  <si>
    <t xml:space="preserve">doc_nhanh</t>
  </si>
  <si>
    <t xml:space="preserve">06-29</t>
  </si>
  <si>
    <t xml:space="preserve">lsr_accum bat (T-11), persist</t>
  </si>
  <si>
    <t xml:space="preserve">calib/replay</t>
  </si>
  <si>
    <t xml:space="preserve">tell som nhat bo</t>
  </si>
  <si>
    <t xml:space="preserve">07-02</t>
  </si>
  <si>
    <t xml:space="preserve">bait probe vol 13x nen, gLSR 0.795-&gt;0.471</t>
  </si>
  <si>
    <t xml:space="preserve">calib</t>
  </si>
  <si>
    <t xml:space="preserve">crowd_flush(bait)</t>
  </si>
  <si>
    <t xml:space="preserve">07-10</t>
  </si>
  <si>
    <t xml:space="preserve">T0 ignition (OI +8%,+20%)</t>
  </si>
  <si>
    <t xml:space="preserve">bat dau grind</t>
  </si>
  <si>
    <t xml:space="preserve">07-11</t>
  </si>
  <si>
    <t xml:space="preserve">pin break (sau T+1)</t>
  </si>
  <si>
    <t xml:space="preserve">BANK_4layer</t>
  </si>
  <si>
    <t xml:space="preserve">ghim xuyen ignition — phat hien moi</t>
  </si>
  <si>
    <t xml:space="preserve">07-15/16</t>
  </si>
  <si>
    <t xml:space="preserve">stealth_grind OI +51/+63%, taker&lt;52%</t>
  </si>
  <si>
    <t xml:space="preserve">bid-walk +6.8x</t>
  </si>
  <si>
    <t xml:space="preserve">07-19/20</t>
  </si>
  <si>
    <t xml:space="preserve">pos sap 3.7-&gt;1.17</t>
  </si>
  <si>
    <t xml:space="preserve">smart money ra</t>
  </si>
  <si>
    <t xml:space="preserve">07-28</t>
  </si>
  <si>
    <t xml:space="preserve">px -31%, OI -44%, dist_wall+post_climax bat</t>
  </si>
  <si>
    <t xml:space="preserve">dry-run P1</t>
  </si>
  <si>
    <t xml:space="preserve">phan phoi hau-dinh, suppressor dung</t>
  </si>
  <si>
    <t xml:space="preserve">C. CHOT THEO DOI — doc moi ngay sau nen dong</t>
  </si>
  <si>
    <t xml:space="preserve">#</t>
  </si>
  <si>
    <t xml:space="preserve">chot</t>
  </si>
  <si>
    <t xml:space="preserve">dieu_kien</t>
  </si>
  <si>
    <t xml:space="preserve">nghia_khi_bat</t>
  </si>
  <si>
    <t xml:space="preserve">trang_thai_hom_nay</t>
  </si>
  <si>
    <t xml:space="preserve">1</t>
  </si>
  <si>
    <t xml:space="preserve">Dinh xac nhan</t>
  </si>
  <si>
    <t xml:space="preserve">gLSR -&gt;~1 hoac funding bung duong + parabol</t>
  </si>
  <si>
    <t xml:space="preserve">het nhien lieu</t>
  </si>
  <si>
    <t xml:space="preserve">PENDING</t>
  </si>
  <si>
    <t xml:space="preserve">2</t>
  </si>
  <si>
    <t xml:space="preserve">Vong 2?</t>
  </si>
  <si>
    <t xml:space="preserve">pin moi + outflow tai nen moi + pos re-rate</t>
  </si>
  <si>
    <t xml:space="preserve">chien dich tai khoi dong</t>
  </si>
  <si>
    <t xml:space="preserve">E. OUTCOME — dien tai moc; verdict_check: verdict luc mo DUNG/SAI o diem nao</t>
  </si>
  <si>
    <t xml:space="preserve">moc</t>
  </si>
  <si>
    <t xml:space="preserve">ngay_han</t>
  </si>
  <si>
    <t xml:space="preserve">px</t>
  </si>
  <si>
    <t xml:space="preserve">ret_pct</t>
  </si>
  <si>
    <t xml:space="preserve">drawup_drawdown</t>
  </si>
  <si>
    <t xml:space="preserve">gLSR</t>
  </si>
  <si>
    <t xml:space="preserve">dien_bien</t>
  </si>
  <si>
    <t xml:space="preserve">verdict_check</t>
  </si>
  <si>
    <t xml:space="preserve">T+14</t>
  </si>
  <si>
    <t xml:space="preserve">2026-07-24</t>
  </si>
  <si>
    <t xml:space="preserve">T+30</t>
  </si>
  <si>
    <t xml:space="preserve">2026-08-09</t>
  </si>
  <si>
    <t xml:space="preserve">T+60</t>
  </si>
  <si>
    <t xml:space="preserve">2026-09-08</t>
  </si>
  <si>
    <t xml:space="preserve">I. MM / OPERATOR PROFILE — van tay hanh vi (moi MM danh mot kieu)</t>
  </si>
  <si>
    <t xml:space="preserve">MM cong bo / nghi van</t>
  </si>
  <si>
    <t xml:space="preserve">unknown — chua tra ho so listing (PENDING)</t>
  </si>
  <si>
    <t xml:space="preserve">MM_ID (so chung)</t>
  </si>
  <si>
    <t xml:space="preserve">MM-BIDWALK-A (5/5 van tay)</t>
  </si>
  <si>
    <t xml:space="preserve">Van tay funding</t>
  </si>
  <si>
    <t xml:space="preserve">pin tuyet doi, ke ca xuyen +580%; hai lan ho nhe co chu dich</t>
  </si>
  <si>
    <t xml:space="preserve">Van tay markup</t>
  </si>
  <si>
    <t xml:space="preserve">bid-walk stealth — khong ngay nao taker&gt;=55 ke ca vol $1.6B</t>
  </si>
  <si>
    <t xml:space="preserve">Ky thuat quan crowd</t>
  </si>
  <si>
    <t xml:space="preserve">bait-probe (02/07) — day crowd short lam nhien lieu</t>
  </si>
  <si>
    <t xml:space="preserve">Ky thuat moi on-chain</t>
  </si>
  <si>
    <t xml:space="preserve">chua thay (on-chain gan nhu cam — dominance ~80%)</t>
  </si>
  <si>
    <t xml:space="preserve">Venue</t>
  </si>
  <si>
    <t xml:space="preserve">Binance perp la san chinh</t>
  </si>
  <si>
    <t xml:space="preserve">Cross-campaign</t>
  </si>
  <si>
    <t xml:space="preserve">nghi HUMA/AT cung playbook (div~8 + pin + controlled-fill)</t>
  </si>
  <si>
    <t xml:space="preserve">Ung xu voi minh</t>
  </si>
  <si>
    <t xml:space="preserve">PENDING — theo doi playbook co doi sau khi bi bat bai</t>
  </si>
  <si>
    <t xml:space="preserve">J. TOKENOMICS / UNLOCK — dong cung co lich, MM danh quanh no</t>
  </si>
  <si>
    <t xml:space="preserve">Circulating / Total</t>
  </si>
  <si>
    <t xml:space="preserve">Nguon tra</t>
  </si>
  <si>
    <t xml:space="preserve">PENDING (CryptoRank/TokenUnlocks)</t>
  </si>
  <si>
    <t xml:space="preserve">Unlock KE TIEP</t>
  </si>
  <si>
    <t xml:space="preserve">Unlock 90 ngay toi</t>
  </si>
  <si>
    <t xml:space="preserve">Cliff da qua gan nhat</t>
  </si>
  <si>
    <t xml:space="preserve">Doc</t>
  </si>
  <si>
    <t xml:space="preserve">PENDING — viec tay #3 tracker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</si>
</sst>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yyyy\-mm\-dd"/>
    <numFmt numFmtId="166" formatCode="0.00000000"/>
    <numFmt numFmtId="167" formatCode="#,##0"/>
    <numFmt numFmtId="168" formatCode="0.0"/>
    <numFmt numFmtId="169" formatCode="0.000000"/>
    <numFmt numFmtId="170" formatCode="0"/>
    <numFmt numFmtId="171" formatCode="0.0000"/>
    <numFmt numFmtId="172" formatCode="0.000"/>
    <numFmt numFmtId="173" formatCode="@"/>
    <numFmt numFmtId="174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375623"/>
        <bgColor rgb="FF404040"/>
      </patternFill>
    </fill>
    <fill>
      <patternFill patternType="solid">
        <fgColor rgb="FF7B3F00"/>
        <bgColor rgb="FF806000"/>
      </patternFill>
    </fill>
    <fill>
      <patternFill patternType="solid">
        <fgColor rgb="FF806000"/>
        <bgColor rgb="FF7B3F00"/>
      </patternFill>
    </fill>
    <fill>
      <patternFill patternType="solid">
        <fgColor rgb="FFBF8F00"/>
        <bgColor rgb="FFFF6600"/>
      </patternFill>
    </fill>
    <fill>
      <patternFill patternType="solid">
        <fgColor rgb="FF404040"/>
        <bgColor rgb="FF37562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6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003366"/>
      <rgbColor rgb="FF339966"/>
      <rgbColor rgb="FF003300"/>
      <rgbColor rgb="FF375623"/>
      <rgbColor rgb="FF7B3F00"/>
      <rgbColor rgb="FF993366"/>
      <rgbColor rgb="FF1F4E7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true" outlineLevel="0" collapsed="false">
      <c r="A4" s="3" t="s">
        <v>2</v>
      </c>
      <c r="B4" s="4" t="s">
        <v>3</v>
      </c>
    </row>
    <row r="5" customFormat="false" ht="15" hidden="false" customHeight="true" outlineLevel="0" collapsed="false">
      <c r="A5" s="3" t="s">
        <v>4</v>
      </c>
      <c r="B5" s="4" t="s">
        <v>5</v>
      </c>
    </row>
    <row r="6" customFormat="false" ht="15" hidden="false" customHeight="true" outlineLevel="0" collapsed="false">
      <c r="A6" s="3" t="s">
        <v>6</v>
      </c>
      <c r="B6" s="4" t="s">
        <v>7</v>
      </c>
    </row>
    <row r="7" customFormat="false" ht="15" hidden="false" customHeight="true" outlineLevel="0" collapsed="false">
      <c r="A7" s="3" t="s">
        <v>8</v>
      </c>
      <c r="B7" s="4" t="s">
        <v>9</v>
      </c>
    </row>
    <row r="8" customFormat="false" ht="15" hidden="false" customHeight="true" outlineLevel="0" collapsed="false">
      <c r="A8" s="3" t="s">
        <v>10</v>
      </c>
      <c r="B8" s="5" t="s">
        <v>11</v>
      </c>
    </row>
    <row r="9" customFormat="false" ht="15" hidden="false" customHeight="true" outlineLevel="0" collapsed="false">
      <c r="A9" s="3" t="s">
        <v>12</v>
      </c>
      <c r="B9" s="4" t="s">
        <v>13</v>
      </c>
    </row>
    <row r="10" customFormat="false" ht="15" hidden="false" customHeight="true" outlineLevel="0" collapsed="false">
      <c r="A10" s="3" t="s">
        <v>14</v>
      </c>
      <c r="B10" s="4" t="s">
        <v>15</v>
      </c>
    </row>
    <row r="11" customFormat="false" ht="15" hidden="false" customHeight="true" outlineLevel="0" collapsed="false">
      <c r="A11" s="3" t="s">
        <v>16</v>
      </c>
      <c r="B11" s="5" t="s">
        <v>17</v>
      </c>
    </row>
    <row r="12" customFormat="false" ht="15" hidden="false" customHeight="true" outlineLevel="0" collapsed="false">
      <c r="A12" s="3" t="s">
        <v>18</v>
      </c>
      <c r="B12" s="5" t="s">
        <v>19</v>
      </c>
    </row>
    <row r="14" customFormat="false" ht="39.75" hidden="false" customHeight="true" outlineLevel="0" collapsed="false">
      <c r="A14" s="6" t="s">
        <v>20</v>
      </c>
      <c r="B14" s="7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8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8" min="6" style="0" width="10"/>
    <col collapsed="false" customWidth="true" hidden="false" outlineLevel="0" max="9" min="9" style="0" width="5"/>
    <col collapsed="false" customWidth="true" hidden="false" outlineLevel="0" max="10" min="10" style="0" width="12"/>
    <col collapsed="false" customWidth="true" hidden="false" outlineLevel="0" max="11" min="11" style="0" width="7"/>
    <col collapsed="false" customWidth="true" hidden="false" outlineLevel="0" max="12" min="12" style="0" width="13"/>
    <col collapsed="false" customWidth="true" hidden="false" outlineLevel="0" max="17" min="13" style="0" width="9"/>
    <col collapsed="false" customWidth="true" hidden="false" outlineLevel="0" max="19" min="18" style="0" width="8"/>
    <col collapsed="false" customWidth="true" hidden="false" outlineLevel="0" max="20" min="20" style="0" width="9"/>
    <col collapsed="false" customWidth="true" hidden="false" outlineLevel="0" max="22" min="21" style="0" width="8"/>
    <col collapsed="false" customWidth="true" hidden="false" outlineLevel="0" max="23" min="23" style="0" width="22"/>
    <col collapsed="false" customWidth="true" hidden="false" outlineLevel="0" max="24" min="24" style="0" width="16"/>
    <col collapsed="false" customWidth="true" hidden="false" outlineLevel="0" max="25" min="25" style="0" width="8"/>
    <col collapsed="false" customWidth="true" hidden="false" outlineLevel="0" max="26" min="26" style="0" width="7"/>
    <col collapsed="false" customWidth="true" hidden="false" outlineLevel="0" max="27" min="27" style="0" width="9"/>
    <col collapsed="false" customWidth="true" hidden="false" outlineLevel="0" max="28" min="28" style="0" width="12"/>
    <col collapsed="false" customWidth="true" hidden="false" outlineLevel="0" max="29" min="29" style="0" width="9"/>
    <col collapsed="false" customWidth="true" hidden="false" outlineLevel="0" max="35" min="30" style="0" width="11"/>
    <col collapsed="false" customWidth="true" hidden="false" outlineLevel="0" max="36" min="36" style="0" width="9"/>
    <col collapsed="false" customWidth="true" hidden="false" outlineLevel="0" max="37" min="37" style="0" width="14"/>
    <col collapsed="false" customWidth="true" hidden="false" outlineLevel="0" max="38" min="38" style="0" width="18"/>
    <col collapsed="false" customWidth="true" hidden="false" outlineLevel="0" max="39" min="39" style="0" width="9"/>
    <col collapsed="false" customWidth="true" hidden="false" outlineLevel="0" max="40" min="40" style="0" width="30"/>
    <col collapsed="false" customWidth="true" hidden="false" outlineLevel="0" max="41" min="41" style="0" width="22"/>
  </cols>
  <sheetData>
    <row r="1" customFormat="false" ht="15.75" hidden="false" customHeight="true" outlineLevel="0" collapsed="false">
      <c r="A1" s="8" t="s">
        <v>22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9" t="s">
        <v>23</v>
      </c>
      <c r="AB1" s="9"/>
      <c r="AC1" s="9"/>
      <c r="AD1" s="9"/>
      <c r="AE1" s="9"/>
      <c r="AF1" s="9"/>
      <c r="AG1" s="9"/>
      <c r="AH1" s="9"/>
      <c r="AI1" s="9"/>
      <c r="AJ1" s="9"/>
      <c r="AK1" s="10" t="s">
        <v>24</v>
      </c>
      <c r="AL1" s="10"/>
      <c r="AM1" s="10"/>
      <c r="AN1" s="11" t="s">
        <v>25</v>
      </c>
      <c r="AO1" s="11"/>
    </row>
    <row r="2" customFormat="false" ht="15" hidden="false" customHeight="false" outlineLevel="0" collapsed="false">
      <c r="A2" s="12" t="s">
        <v>26</v>
      </c>
      <c r="B2" s="12" t="s">
        <v>27</v>
      </c>
      <c r="C2" s="12" t="s">
        <v>28</v>
      </c>
      <c r="D2" s="12" t="s">
        <v>29</v>
      </c>
      <c r="E2" s="12" t="s">
        <v>30</v>
      </c>
      <c r="F2" s="12" t="s">
        <v>31</v>
      </c>
      <c r="G2" s="12" t="s">
        <v>32</v>
      </c>
      <c r="H2" s="12" t="s">
        <v>33</v>
      </c>
      <c r="I2" s="12" t="s">
        <v>34</v>
      </c>
      <c r="J2" s="12" t="s">
        <v>35</v>
      </c>
      <c r="K2" s="12" t="s">
        <v>36</v>
      </c>
      <c r="L2" s="12" t="s">
        <v>37</v>
      </c>
      <c r="M2" s="12" t="s">
        <v>38</v>
      </c>
      <c r="N2" s="12" t="s">
        <v>39</v>
      </c>
      <c r="O2" s="12" t="s">
        <v>40</v>
      </c>
      <c r="P2" s="12" t="s">
        <v>41</v>
      </c>
      <c r="Q2" s="12" t="s">
        <v>42</v>
      </c>
      <c r="R2" s="12" t="s">
        <v>43</v>
      </c>
      <c r="S2" s="12" t="s">
        <v>44</v>
      </c>
      <c r="T2" s="12" t="s">
        <v>45</v>
      </c>
      <c r="U2" s="12" t="s">
        <v>46</v>
      </c>
      <c r="V2" s="12" t="s">
        <v>47</v>
      </c>
      <c r="W2" s="12" t="s">
        <v>48</v>
      </c>
      <c r="X2" s="12" t="s">
        <v>49</v>
      </c>
      <c r="Y2" s="12" t="s">
        <v>50</v>
      </c>
      <c r="Z2" s="12" t="s">
        <v>51</v>
      </c>
      <c r="AA2" s="13" t="s">
        <v>52</v>
      </c>
      <c r="AB2" s="13" t="s">
        <v>53</v>
      </c>
      <c r="AC2" s="13" t="s">
        <v>54</v>
      </c>
      <c r="AD2" s="13" t="s">
        <v>55</v>
      </c>
      <c r="AE2" s="13" t="s">
        <v>56</v>
      </c>
      <c r="AF2" s="13" t="s">
        <v>57</v>
      </c>
      <c r="AG2" s="13" t="s">
        <v>58</v>
      </c>
      <c r="AH2" s="13" t="s">
        <v>59</v>
      </c>
      <c r="AI2" s="13" t="s">
        <v>60</v>
      </c>
      <c r="AJ2" s="13" t="s">
        <v>61</v>
      </c>
      <c r="AK2" s="14" t="s">
        <v>62</v>
      </c>
      <c r="AL2" s="14" t="s">
        <v>63</v>
      </c>
      <c r="AM2" s="14" t="s">
        <v>64</v>
      </c>
      <c r="AN2" s="14" t="s">
        <v>65</v>
      </c>
      <c r="AO2" s="14" t="s">
        <v>66</v>
      </c>
    </row>
    <row r="3" customFormat="false" ht="15" hidden="false" customHeight="false" outlineLevel="0" collapsed="false">
      <c r="A3" s="15" t="s">
        <v>67</v>
      </c>
      <c r="B3" s="16" t="n">
        <v>0.3685</v>
      </c>
      <c r="D3" s="17" t="n">
        <v>721232744</v>
      </c>
      <c r="E3" s="18" t="n">
        <v>51.21</v>
      </c>
      <c r="F3" s="19" t="n">
        <v>4.9E-005</v>
      </c>
      <c r="G3" s="19" t="n">
        <v>4.6E-005</v>
      </c>
      <c r="H3" s="19" t="n">
        <v>5E-005</v>
      </c>
      <c r="I3" s="20" t="n">
        <v>6</v>
      </c>
      <c r="L3" s="17" t="n">
        <v>63358945</v>
      </c>
      <c r="O3" s="21" t="n">
        <v>1.31</v>
      </c>
      <c r="P3" s="21" t="n">
        <v>0.358</v>
      </c>
      <c r="Q3" s="21" t="n">
        <v>0.4255</v>
      </c>
      <c r="R3" s="22" t="n">
        <f aca="false">IFERROR(O3/P3,"")</f>
        <v>3.65921787709497</v>
      </c>
      <c r="W3" s="23" t="s">
        <v>68</v>
      </c>
      <c r="X3" s="23"/>
      <c r="AJ3" s="18" t="str">
        <f aca="false">IF(OR(AB3="",D3="",D3=0),"",AB3/D3)</f>
        <v/>
      </c>
      <c r="AN3" s="23" t="s">
        <v>69</v>
      </c>
    </row>
    <row r="4" customFormat="false" ht="15" hidden="false" customHeight="false" outlineLevel="0" collapsed="false">
      <c r="A4" s="15" t="s">
        <v>70</v>
      </c>
      <c r="B4" s="16" t="n">
        <v>0.4128</v>
      </c>
      <c r="C4" s="24" t="n">
        <f aca="false">IFERROR(B4/B3-1,"")</f>
        <v>0.120217096336499</v>
      </c>
      <c r="D4" s="17" t="n">
        <v>1529118313</v>
      </c>
      <c r="E4" s="18" t="n">
        <v>50.85</v>
      </c>
      <c r="F4" s="19" t="n">
        <v>3.3E-005</v>
      </c>
      <c r="G4" s="19" t="n">
        <v>-2E-006</v>
      </c>
      <c r="H4" s="19" t="n">
        <v>5E-005</v>
      </c>
      <c r="I4" s="20" t="n">
        <v>6</v>
      </c>
      <c r="L4" s="17" t="n">
        <v>70833437</v>
      </c>
      <c r="O4" s="21" t="n">
        <v>1.3036</v>
      </c>
      <c r="P4" s="21" t="n">
        <v>0.333</v>
      </c>
      <c r="Q4" s="21" t="n">
        <v>0.3889</v>
      </c>
      <c r="R4" s="22" t="n">
        <f aca="false">IFERROR(O4/P4,"")</f>
        <v>3.91471471471472</v>
      </c>
      <c r="W4" s="23" t="s">
        <v>68</v>
      </c>
      <c r="X4" s="23"/>
      <c r="AJ4" s="18" t="str">
        <f aca="false">IF(OR(AB4="",D4="",D4=0),"",AB4/D4)</f>
        <v/>
      </c>
    </row>
    <row r="5" customFormat="false" ht="15" hidden="false" customHeight="false" outlineLevel="0" collapsed="false">
      <c r="A5" s="15" t="s">
        <v>71</v>
      </c>
      <c r="B5" s="16" t="n">
        <v>0.2858</v>
      </c>
      <c r="C5" s="24" t="n">
        <f aca="false">IFERROR(B5/B4-1,"")</f>
        <v>-0.30765503875969</v>
      </c>
      <c r="I5" s="20" t="n">
        <v>6</v>
      </c>
      <c r="L5" s="17" t="n">
        <v>39769000</v>
      </c>
      <c r="R5" s="22" t="str">
        <f aca="false">IFERROR(O5/P5,"")</f>
        <v/>
      </c>
      <c r="S5" s="22" t="n">
        <f aca="false">IFERROR(AVERAGE(R3:R5),"")</f>
        <v>3.78696629590484</v>
      </c>
      <c r="W5" s="23" t="s">
        <v>68</v>
      </c>
      <c r="X5" s="23" t="s">
        <v>72</v>
      </c>
      <c r="AJ5" s="18" t="str">
        <f aca="false">IF(OR(AB5="",D5="",D5=0),"",AB5/D5)</f>
        <v/>
      </c>
      <c r="AN5" s="23" t="s">
        <v>73</v>
      </c>
    </row>
    <row r="7" customFormat="false" ht="15" hidden="false" customHeight="true" outlineLevel="0" collapsed="false">
      <c r="A7" s="25" t="s">
        <v>74</v>
      </c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</sheetData>
  <mergeCells count="5">
    <mergeCell ref="A1:Z1"/>
    <mergeCell ref="AA1:AJ1"/>
    <mergeCell ref="AK1:AM1"/>
    <mergeCell ref="AN1:AO1"/>
    <mergeCell ref="A7:L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60"/>
    <col collapsed="false" customWidth="true" hidden="false" outlineLevel="0" max="3" min="3" style="0" width="18"/>
    <col collapsed="false" customWidth="true" hidden="false" outlineLevel="0" max="4" min="4" style="0" width="45"/>
  </cols>
  <sheetData>
    <row r="1" customFormat="false" ht="16.15" hidden="false" customHeight="false" outlineLevel="0" collapsed="false">
      <c r="A1" s="1" t="s">
        <v>75</v>
      </c>
    </row>
    <row r="3" customFormat="false" ht="15" hidden="false" customHeight="false" outlineLevel="0" collapsed="false">
      <c r="A3" s="26" t="s">
        <v>76</v>
      </c>
      <c r="B3" s="26" t="s">
        <v>77</v>
      </c>
      <c r="C3" s="26" t="s">
        <v>78</v>
      </c>
      <c r="D3" s="26" t="s">
        <v>79</v>
      </c>
    </row>
    <row r="4" customFormat="false" ht="15" hidden="false" customHeight="false" outlineLevel="0" collapsed="false">
      <c r="A4" s="4" t="s">
        <v>80</v>
      </c>
      <c r="B4" s="4" t="s">
        <v>81</v>
      </c>
      <c r="C4" s="4" t="s">
        <v>82</v>
      </c>
      <c r="D4" s="4" t="s">
        <v>83</v>
      </c>
    </row>
    <row r="5" customFormat="false" ht="15" hidden="false" customHeight="false" outlineLevel="0" collapsed="false">
      <c r="A5" s="4" t="s">
        <v>84</v>
      </c>
      <c r="B5" s="4" t="s">
        <v>85</v>
      </c>
      <c r="C5" s="4" t="s">
        <v>86</v>
      </c>
      <c r="D5" s="4" t="s">
        <v>87</v>
      </c>
    </row>
    <row r="6" customFormat="false" ht="15" hidden="false" customHeight="false" outlineLevel="0" collapsed="false">
      <c r="A6" s="4" t="s">
        <v>88</v>
      </c>
      <c r="B6" s="4" t="s">
        <v>89</v>
      </c>
      <c r="C6" s="4" t="s">
        <v>86</v>
      </c>
      <c r="D6" s="4" t="s">
        <v>90</v>
      </c>
    </row>
    <row r="7" customFormat="false" ht="15" hidden="false" customHeight="false" outlineLevel="0" collapsed="false">
      <c r="A7" s="4" t="s">
        <v>91</v>
      </c>
      <c r="B7" s="4" t="s">
        <v>92</v>
      </c>
      <c r="C7" s="4" t="s">
        <v>93</v>
      </c>
      <c r="D7" s="4" t="s">
        <v>94</v>
      </c>
    </row>
    <row r="8" customFormat="false" ht="15" hidden="false" customHeight="false" outlineLevel="0" collapsed="false">
      <c r="A8" s="4" t="s">
        <v>95</v>
      </c>
      <c r="B8" s="4" t="s">
        <v>96</v>
      </c>
      <c r="C8" s="4" t="s">
        <v>86</v>
      </c>
      <c r="D8" s="4" t="s">
        <v>97</v>
      </c>
    </row>
    <row r="9" customFormat="false" ht="15" hidden="false" customHeight="false" outlineLevel="0" collapsed="false">
      <c r="A9" s="4" t="s">
        <v>98</v>
      </c>
      <c r="B9" s="4" t="s">
        <v>99</v>
      </c>
      <c r="C9" s="4" t="s">
        <v>86</v>
      </c>
      <c r="D9" s="4" t="s">
        <v>100</v>
      </c>
    </row>
    <row r="10" customFormat="false" ht="15" hidden="false" customHeight="false" outlineLevel="0" collapsed="false">
      <c r="A10" s="4" t="s">
        <v>101</v>
      </c>
      <c r="B10" s="4" t="s">
        <v>102</v>
      </c>
      <c r="C10" s="4" t="s">
        <v>103</v>
      </c>
      <c r="D10" s="4" t="s">
        <v>104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3" min="3" style="0" width="44"/>
    <col collapsed="false" customWidth="true" hidden="false" outlineLevel="0" max="4" min="4" style="0" width="40"/>
    <col collapsed="false" customWidth="true" hidden="false" outlineLevel="0" max="5" min="5" style="0" width="22"/>
  </cols>
  <sheetData>
    <row r="1" customFormat="false" ht="16.15" hidden="false" customHeight="false" outlineLevel="0" collapsed="false">
      <c r="A1" s="1" t="s">
        <v>105</v>
      </c>
    </row>
    <row r="3" customFormat="false" ht="15" hidden="false" customHeight="false" outlineLevel="0" collapsed="false">
      <c r="A3" s="26" t="s">
        <v>106</v>
      </c>
      <c r="B3" s="26" t="s">
        <v>107</v>
      </c>
      <c r="C3" s="26" t="s">
        <v>108</v>
      </c>
      <c r="D3" s="26" t="s">
        <v>109</v>
      </c>
      <c r="E3" s="26" t="s">
        <v>110</v>
      </c>
    </row>
    <row r="4" customFormat="false" ht="15" hidden="false" customHeight="false" outlineLevel="0" collapsed="false">
      <c r="A4" s="4" t="s">
        <v>111</v>
      </c>
      <c r="B4" s="4" t="s">
        <v>112</v>
      </c>
      <c r="C4" s="4" t="s">
        <v>113</v>
      </c>
      <c r="D4" s="4" t="s">
        <v>114</v>
      </c>
      <c r="E4" s="5" t="s">
        <v>115</v>
      </c>
    </row>
    <row r="5" customFormat="false" ht="15" hidden="false" customHeight="false" outlineLevel="0" collapsed="false">
      <c r="A5" s="4" t="s">
        <v>116</v>
      </c>
      <c r="B5" s="4" t="s">
        <v>117</v>
      </c>
      <c r="C5" s="4" t="s">
        <v>118</v>
      </c>
      <c r="D5" s="4" t="s">
        <v>119</v>
      </c>
      <c r="E5" s="5" t="s">
        <v>115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9"/>
    <col collapsed="false" customWidth="true" hidden="false" outlineLevel="0" max="5" min="5" style="0" width="16"/>
    <col collapsed="false" customWidth="true" hidden="false" outlineLevel="0" max="6" min="6" style="0" width="13"/>
    <col collapsed="false" customWidth="true" hidden="false" outlineLevel="0" max="7" min="7" style="0" width="9"/>
    <col collapsed="false" customWidth="true" hidden="false" outlineLevel="0" max="9" min="8" style="0" width="42"/>
  </cols>
  <sheetData>
    <row r="1" customFormat="false" ht="16.15" hidden="false" customHeight="false" outlineLevel="0" collapsed="false">
      <c r="A1" s="1" t="s">
        <v>120</v>
      </c>
    </row>
    <row r="3" customFormat="false" ht="15" hidden="false" customHeight="false" outlineLevel="0" collapsed="false">
      <c r="A3" s="26" t="s">
        <v>121</v>
      </c>
      <c r="B3" s="26" t="s">
        <v>122</v>
      </c>
      <c r="C3" s="26" t="s">
        <v>123</v>
      </c>
      <c r="D3" s="26" t="s">
        <v>124</v>
      </c>
      <c r="E3" s="26" t="s">
        <v>125</v>
      </c>
      <c r="F3" s="26" t="s">
        <v>37</v>
      </c>
      <c r="G3" s="26" t="s">
        <v>126</v>
      </c>
      <c r="H3" s="26" t="s">
        <v>127</v>
      </c>
      <c r="I3" s="26" t="s">
        <v>128</v>
      </c>
    </row>
    <row r="4" customFormat="false" ht="15" hidden="false" customHeight="false" outlineLevel="0" collapsed="false">
      <c r="A4" s="4" t="s">
        <v>129</v>
      </c>
      <c r="B4" s="4" t="s">
        <v>130</v>
      </c>
      <c r="C4" s="5"/>
      <c r="D4" s="5"/>
      <c r="E4" s="5"/>
      <c r="F4" s="5"/>
      <c r="G4" s="5"/>
      <c r="H4" s="5"/>
      <c r="I4" s="5"/>
    </row>
    <row r="5" customFormat="false" ht="15" hidden="false" customHeight="false" outlineLevel="0" collapsed="false">
      <c r="A5" s="4" t="s">
        <v>131</v>
      </c>
      <c r="B5" s="4" t="s">
        <v>132</v>
      </c>
      <c r="C5" s="5"/>
      <c r="D5" s="5"/>
      <c r="E5" s="5"/>
      <c r="F5" s="5"/>
      <c r="G5" s="5"/>
      <c r="H5" s="5"/>
      <c r="I5" s="5"/>
    </row>
    <row r="6" customFormat="false" ht="15" hidden="false" customHeight="false" outlineLevel="0" collapsed="false">
      <c r="A6" s="4" t="s">
        <v>133</v>
      </c>
      <c r="B6" s="4" t="s">
        <v>134</v>
      </c>
      <c r="C6" s="5"/>
      <c r="D6" s="5"/>
      <c r="E6" s="5"/>
      <c r="F6" s="5"/>
      <c r="G6" s="5"/>
      <c r="H6" s="5"/>
      <c r="I6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95"/>
  </cols>
  <sheetData>
    <row r="1" customFormat="false" ht="16.15" hidden="false" customHeight="false" outlineLevel="0" collapsed="false">
      <c r="A1" s="1" t="s">
        <v>135</v>
      </c>
    </row>
    <row r="3" customFormat="false" ht="15" hidden="false" customHeight="true" outlineLevel="0" collapsed="false">
      <c r="A3" s="3" t="s">
        <v>136</v>
      </c>
      <c r="B3" s="5" t="s">
        <v>137</v>
      </c>
    </row>
    <row r="4" customFormat="false" ht="15" hidden="false" customHeight="true" outlineLevel="0" collapsed="false">
      <c r="A4" s="3" t="s">
        <v>138</v>
      </c>
      <c r="B4" s="4" t="s">
        <v>139</v>
      </c>
    </row>
    <row r="5" customFormat="false" ht="15" hidden="false" customHeight="true" outlineLevel="0" collapsed="false">
      <c r="A5" s="3" t="s">
        <v>140</v>
      </c>
      <c r="B5" s="4" t="s">
        <v>141</v>
      </c>
    </row>
    <row r="6" customFormat="false" ht="15" hidden="false" customHeight="true" outlineLevel="0" collapsed="false">
      <c r="A6" s="3" t="s">
        <v>142</v>
      </c>
      <c r="B6" s="4" t="s">
        <v>143</v>
      </c>
    </row>
    <row r="7" customFormat="false" ht="15" hidden="false" customHeight="true" outlineLevel="0" collapsed="false">
      <c r="A7" s="3" t="s">
        <v>144</v>
      </c>
      <c r="B7" s="4" t="s">
        <v>145</v>
      </c>
    </row>
    <row r="8" customFormat="false" ht="15" hidden="false" customHeight="true" outlineLevel="0" collapsed="false">
      <c r="A8" s="3" t="s">
        <v>146</v>
      </c>
      <c r="B8" s="4" t="s">
        <v>147</v>
      </c>
    </row>
    <row r="9" customFormat="false" ht="15" hidden="false" customHeight="true" outlineLevel="0" collapsed="false">
      <c r="A9" s="3" t="s">
        <v>148</v>
      </c>
      <c r="B9" s="4" t="s">
        <v>149</v>
      </c>
    </row>
    <row r="10" customFormat="false" ht="15" hidden="false" customHeight="true" outlineLevel="0" collapsed="false">
      <c r="A10" s="3" t="s">
        <v>150</v>
      </c>
      <c r="B10" s="4" t="s">
        <v>151</v>
      </c>
    </row>
    <row r="11" customFormat="false" ht="15" hidden="false" customHeight="true" outlineLevel="0" collapsed="false">
      <c r="A11" s="3" t="s">
        <v>152</v>
      </c>
      <c r="B11" s="5" t="s">
        <v>153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95"/>
  </cols>
  <sheetData>
    <row r="1" customFormat="false" ht="16.15" hidden="false" customHeight="false" outlineLevel="0" collapsed="false">
      <c r="A1" s="1" t="s">
        <v>154</v>
      </c>
    </row>
    <row r="3" customFormat="false" ht="15" hidden="false" customHeight="true" outlineLevel="0" collapsed="false">
      <c r="A3" s="3" t="s">
        <v>155</v>
      </c>
      <c r="B3" s="5" t="s">
        <v>115</v>
      </c>
    </row>
    <row r="4" customFormat="false" ht="15" hidden="false" customHeight="true" outlineLevel="0" collapsed="false">
      <c r="A4" s="3" t="s">
        <v>156</v>
      </c>
      <c r="B4" s="5" t="s">
        <v>157</v>
      </c>
    </row>
    <row r="5" customFormat="false" ht="15" hidden="false" customHeight="true" outlineLevel="0" collapsed="false">
      <c r="A5" s="3" t="s">
        <v>158</v>
      </c>
      <c r="B5" s="5" t="s">
        <v>115</v>
      </c>
    </row>
    <row r="6" customFormat="false" ht="15" hidden="false" customHeight="true" outlineLevel="0" collapsed="false">
      <c r="A6" s="3" t="s">
        <v>159</v>
      </c>
      <c r="B6" s="5" t="s">
        <v>115</v>
      </c>
    </row>
    <row r="7" customFormat="false" ht="15" hidden="false" customHeight="true" outlineLevel="0" collapsed="false">
      <c r="A7" s="3" t="s">
        <v>160</v>
      </c>
      <c r="B7" s="5" t="s">
        <v>115</v>
      </c>
    </row>
    <row r="8" customFormat="false" ht="15" hidden="false" customHeight="true" outlineLevel="0" collapsed="false">
      <c r="A8" s="3" t="s">
        <v>161</v>
      </c>
      <c r="B8" s="5" t="s">
        <v>162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2026-07-29T03:24:04Z</dcterms:created>
  <dc:creator>openpyxl</dc:creator>
  <dc:description/>
  <dc:language>en-US</dc:language>
  <cp:lastModifiedBy/>
  <dcterms:modified xsi:type="dcterms:W3CDTF">2026-07-29T03:24:04Z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