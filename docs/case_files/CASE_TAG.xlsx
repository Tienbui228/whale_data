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0.00000000"/>
    <numFmt numFmtId="166" formatCode="0.0"/>
    <numFmt numFmtId="167" formatCode="0.000000"/>
    <numFmt numFmtId="168" formatCode="0.0000"/>
    <numFmt numFmtId="169" formatCode="0.000"/>
    <numFmt numFmtId="170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</fonts>
  <fills count="10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375623"/>
        <bgColor rgb="FF404040"/>
      </patternFill>
    </fill>
    <fill>
      <patternFill patternType="solid">
        <fgColor rgb="FF7B3F00"/>
        <bgColor rgb="FF806000"/>
      </patternFill>
    </fill>
    <fill>
      <patternFill patternType="solid">
        <fgColor rgb="FF806000"/>
        <bgColor rgb="FF7B3F00"/>
      </patternFill>
    </fill>
    <fill>
      <patternFill patternType="solid">
        <fgColor rgb="FFBF8F00"/>
        <bgColor rgb="FFFF6600"/>
      </patternFill>
    </fill>
    <fill>
      <patternFill patternType="solid">
        <fgColor rgb="FF404040"/>
        <b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9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0" fontId="9" fillId="9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75623"/>
      <rgbColor rgb="FF7B3F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whale-data-operator</author>
    <author>agent</author>
  </authors>
  <commentList>
    <comment ref="M2" authorId="0" shapeId="0">
      <text>
        <t>oi_vs_med14 Excel != dinh nghia fire
Window ending khac signals.py
(signals.py: window ket thuc ngay-truoc-check; Excel: window khac, chi nhin nhanh)</t>
      </text>
    </comment>
    <comment ref="I30" authorId="1" shapeId="0">
      <text>
        <t>fn=1: only 1 funding snapshot for Jul28 (native_1d low_conf)</t>
      </text>
    </comment>
    <comment ref="Q30" authorId="1" shapeId="0">
      <text>
        <t>fn=1 low_conf: single 1d snapshot (native_1d). Ratio unreliable, use Zone-A aggregate.</t>
      </text>
    </comment>
    <comment ref="Q31" authorId="1" shapeId="0">
      <text>
        <t>fn=1 low_conf: single 1d snapshot. Suspect spike 1.298-&gt;1.813, use Zone-A aggregate 1.606.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8" min="1" max="1"/>
    <col width="100" customWidth="1" style="28" min="2" max="2"/>
  </cols>
  <sheetData>
    <row r="1" ht="16.15" customHeight="1" s="29">
      <c r="A1" s="30" t="inlineStr">
        <is>
          <t>CASE FILE — TAG</t>
        </is>
      </c>
    </row>
    <row r="2" ht="15" customHeight="1" s="29">
      <c r="A2" s="28" t="inlineStr">
        <is>
          <t>LEGEND</t>
        </is>
      </c>
      <c r="B2" s="28" t="inlineStr">
        <is>
          <t>oi_vs_med14 Excel != dinh nghia fire — window ending khac signals.py (signals.py dung window ket thuc ngay-truoc-check; DAILY dung window khac, chi nhin nhanh)</t>
        </is>
      </c>
    </row>
    <row r="3">
      <c r="A3" s="31" t="inlineStr">
        <is>
          <t>Nguon: case_tracker v1.1 · verdict chi operator ghi · so kem nguon · PENDING khong doan</t>
        </is>
      </c>
    </row>
    <row r="4" ht="15" customHeight="1" s="29"/>
    <row r="5" ht="15" customHeight="1" s="29">
      <c r="A5" s="32" t="inlineStr">
        <is>
          <t>Status</t>
        </is>
      </c>
      <c r="B5" s="33" t="inlineStr">
        <is>
          <t>OPEN — WATCH-nong</t>
        </is>
      </c>
    </row>
    <row r="6" ht="15" customHeight="1" s="29">
      <c r="A6" s="32" t="inlineStr">
        <is>
          <t>Loai</t>
        </is>
      </c>
      <c r="B6" s="33" t="inlineStr">
        <is>
          <t>pump-setup vong 2 (sau ARMED#1 cu)</t>
        </is>
      </c>
    </row>
    <row r="7" ht="15" customHeight="1" s="29">
      <c r="A7" s="32" t="inlineStr">
        <is>
          <t>Ngay phat hien</t>
        </is>
      </c>
      <c r="B7" s="33" t="inlineStr">
        <is>
          <t>27-28/07: 2 vi consolidate 17M -&gt; 0x34828d + 3 vi rut ~$26M khoi Gate/48h</t>
        </is>
      </c>
    </row>
    <row r="8" ht="15" customHeight="1" s="29">
      <c r="A8" s="32" t="inlineStr">
        <is>
          <t>T0</t>
        </is>
      </c>
      <c r="B8" s="33" t="inlineStr">
        <is>
          <t>chua xac dinh (ung vien 07-27/28 neu stealth giu) · px 28/07 ~0.00139</t>
        </is>
      </c>
    </row>
    <row r="9" ht="15" customHeight="1" s="29">
      <c r="A9" s="32" t="inlineStr">
        <is>
          <t>action_class</t>
        </is>
      </c>
      <c r="B9" s="34" t="inlineStr">
        <is>
          <t>WATCH — CHUA tai-ARM (thieu manh cau truc); KHONG duoi gia +40% (bai TUT/BULLA)</t>
        </is>
      </c>
    </row>
    <row r="10" ht="15" customHeight="1" s="29">
      <c r="A10" s="32" t="inlineStr">
        <is>
          <t>Vi the</t>
        </is>
      </c>
      <c r="B10" s="33" t="inlineStr">
        <is>
          <t>none</t>
        </is>
      </c>
    </row>
    <row r="11" ht="15" customHeight="1" s="29">
      <c r="A11" s="32" t="inlineStr">
        <is>
          <t>Tom tat input</t>
        </is>
      </c>
      <c r="B11" s="33" t="inlineStr">
        <is>
          <t>Gate probe: V thang 7 ~$15.6M &lt; $26M -&gt; KHONG THE gom tren Gate, inventory co san · book $2.5k/$1.2k = bai do · 0 cum BotAccum · nen 28/07: stealth_grind ban (margin mong), gLSR 1.71-&gt;1.30 wash-by-rally, pos hoi 1.595, div bung ~1.6 (avg3 1.34 chua dat)</t>
        </is>
      </c>
    </row>
    <row r="12" ht="15" customHeight="1" s="29">
      <c r="A12" s="32" t="inlineStr">
        <is>
          <t>Verdict (operator)</t>
        </is>
      </c>
      <c r="B12" s="34" t="inlineStr">
        <is>
          <t>campaign nhieu kha nang tai khoi dong; 1 tell + accelerant, thieu 2 manh cau truc -&gt; chua ARMED</t>
        </is>
      </c>
    </row>
    <row r="13">
      <c r="A13" s="32" t="inlineStr">
        <is>
          <t>Dieu gi chung minh SAI</t>
        </is>
      </c>
      <c r="B13" s="34" t="inlineStr">
        <is>
          <t>redeposit tu bat ky vi nao cum 6 · gia &lt;0.00072 · gLSR quay len &gt;1.5 kem gia dung</t>
        </is>
      </c>
    </row>
    <row r="14" ht="39.75" customHeight="1" s="29"/>
    <row r="15">
      <c r="A15" s="35" t="inlineStr">
        <is>
          <t>LEGEND</t>
        </is>
      </c>
      <c r="B15" s="36" t="inlineStr">
        <is>
          <t xml:space="preserve">O vang = operator dien/quyet · Header nau vang (sheet DAILY) = cot manual · Dong to cam (DAILY) = data_bad=1, so mang sai so · Cot cong thuc (ret_1d, div, slope, oi_vs_med14, alpha) tu tinh khi may append dong moi — copy cong thuc dong tren xuong. 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O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8" min="1" max="1"/>
    <col width="11" customWidth="1" style="28" min="2" max="2"/>
    <col width="8" customWidth="1" style="28" min="3" max="3"/>
    <col width="13" customWidth="1" style="28" min="4" max="4"/>
    <col width="9" customWidth="1" style="28" min="5" max="5"/>
    <col width="10" customWidth="1" style="28" min="6" max="8"/>
    <col width="5" customWidth="1" style="28" min="9" max="9"/>
    <col width="12" customWidth="1" style="28" min="10" max="10"/>
    <col width="7" customWidth="1" style="28" min="11" max="11"/>
    <col width="13" customWidth="1" style="28" min="12" max="12"/>
    <col width="9" customWidth="1" style="28" min="13" max="17"/>
    <col width="8" customWidth="1" style="28" min="18" max="19"/>
    <col width="9" customWidth="1" style="28" min="20" max="20"/>
    <col width="8" customWidth="1" style="28" min="21" max="22"/>
    <col width="22" customWidth="1" style="28" min="23" max="23"/>
    <col width="16" customWidth="1" style="28" min="24" max="24"/>
    <col width="8" customWidth="1" style="28" min="25" max="25"/>
    <col width="7" customWidth="1" style="28" min="26" max="26"/>
    <col width="9" customWidth="1" style="28" min="27" max="27"/>
    <col width="12" customWidth="1" style="28" min="28" max="28"/>
    <col width="9" customWidth="1" style="28" min="29" max="29"/>
    <col width="11" customWidth="1" style="28" min="30" max="35"/>
    <col width="9" customWidth="1" style="28" min="36" max="36"/>
    <col width="14" customWidth="1" style="28" min="37" max="37"/>
    <col width="18" customWidth="1" style="28" min="38" max="38"/>
    <col width="9" customWidth="1" style="28" min="39" max="39"/>
    <col width="30" customWidth="1" style="28" min="40" max="40"/>
    <col width="22" customWidth="1" style="28" min="41" max="41"/>
  </cols>
  <sheetData>
    <row r="1" ht="15.75" customHeight="1" s="29">
      <c r="A1" s="37" t="inlineStr">
        <is>
          <t>PERP (may)</t>
        </is>
      </c>
      <c r="AA1" s="38" t="inlineStr">
        <is>
          <t>SPOT/ALPHA (may)</t>
        </is>
      </c>
      <c r="AK1" s="39" t="inlineStr">
        <is>
          <t>ON-CHAIN (ban tu dong)</t>
        </is>
      </c>
      <c r="AN1" s="40" t="inlineStr">
        <is>
          <t>MANUAL (operator)</t>
        </is>
      </c>
    </row>
    <row r="2" ht="15" customHeight="1" s="29">
      <c r="A2" s="41" t="inlineStr">
        <is>
          <t>date</t>
        </is>
      </c>
      <c r="B2" s="41" t="inlineStr">
        <is>
          <t>px_avg</t>
        </is>
      </c>
      <c r="C2" s="41" t="inlineStr">
        <is>
          <t>ret_1d</t>
        </is>
      </c>
      <c r="D2" s="41" t="inlineStr">
        <is>
          <t>vol_perp_usd</t>
        </is>
      </c>
      <c r="E2" s="41" t="inlineStr">
        <is>
          <t>taker_buy_pct</t>
        </is>
      </c>
      <c r="F2" s="41" t="inlineStr">
        <is>
          <t>f_avg</t>
        </is>
      </c>
      <c r="G2" s="41" t="inlineStr">
        <is>
          <t>f_min</t>
        </is>
      </c>
      <c r="H2" s="41" t="inlineStr">
        <is>
          <t>f_max</t>
        </is>
      </c>
      <c r="I2" s="41" t="inlineStr">
        <is>
          <t>f_n</t>
        </is>
      </c>
      <c r="J2" s="41" t="inlineStr">
        <is>
          <t>funding_regime</t>
        </is>
      </c>
      <c r="K2" s="41" t="inlineStr">
        <is>
          <t>pin_streak</t>
        </is>
      </c>
      <c r="L2" s="41" t="inlineStr">
        <is>
          <t>oi_usd</t>
        </is>
      </c>
      <c r="M2" s="41" t="inlineStr">
        <is>
          <t>oi_vs_med14</t>
        </is>
      </c>
      <c r="N2" s="41" t="inlineStr">
        <is>
          <t>oi_cycle_pos</t>
        </is>
      </c>
      <c r="O2" s="41" t="inlineStr">
        <is>
          <t>lsr_pos_r</t>
        </is>
      </c>
      <c r="P2" s="41" t="inlineStr">
        <is>
          <t>lsr_acc_r</t>
        </is>
      </c>
      <c r="Q2" s="41" t="inlineStr">
        <is>
          <t>lsr_global_r</t>
        </is>
      </c>
      <c r="R2" s="41" t="inlineStr">
        <is>
          <t>div_raw</t>
        </is>
      </c>
      <c r="S2" s="41" t="inlineStr">
        <is>
          <t>div_avg3</t>
        </is>
      </c>
      <c r="T2" s="41" t="inlineStr">
        <is>
          <t>glsr_slope_5d</t>
        </is>
      </c>
      <c r="U2" s="41" t="inlineStr">
        <is>
          <t>d_pos_3d</t>
        </is>
      </c>
      <c r="V2" s="41" t="inlineStr">
        <is>
          <t>d_acc_3d</t>
        </is>
      </c>
      <c r="W2" s="41" t="inlineStr">
        <is>
          <t>signals_bullish</t>
        </is>
      </c>
      <c r="X2" s="41" t="inlineStr">
        <is>
          <t>signals_suppress</t>
        </is>
      </c>
      <c r="Y2" s="41" t="inlineStr">
        <is>
          <t>screen_rank</t>
        </is>
      </c>
      <c r="Z2" s="41" t="inlineStr">
        <is>
          <t>data_bad</t>
        </is>
      </c>
      <c r="AA2" s="42" t="inlineStr">
        <is>
          <t>spot_venue</t>
        </is>
      </c>
      <c r="AB2" s="42" t="inlineStr">
        <is>
          <t>vol_spot_usd</t>
        </is>
      </c>
      <c r="AC2" s="42" t="inlineStr">
        <is>
          <t>taker_spot_pct</t>
        </is>
      </c>
      <c r="AD2" s="42" t="inlineStr">
        <is>
          <t>depth_bid2_usd</t>
        </is>
      </c>
      <c r="AE2" s="42" t="inlineStr">
        <is>
          <t>depth_ask2_usd</t>
        </is>
      </c>
      <c r="AF2" s="42" t="inlineStr">
        <is>
          <t>bid_wall_px</t>
        </is>
      </c>
      <c r="AG2" s="42" t="inlineStr">
        <is>
          <t>bid_wall_usd</t>
        </is>
      </c>
      <c r="AH2" s="42" t="inlineStr">
        <is>
          <t>ask_wall_px</t>
        </is>
      </c>
      <c r="AI2" s="42" t="inlineStr">
        <is>
          <t>ask_wall_usd</t>
        </is>
      </c>
      <c r="AJ2" s="42" t="inlineStr">
        <is>
          <t>alpha_suspect</t>
        </is>
      </c>
      <c r="AK2" s="43" t="inlineStr">
        <is>
          <t>exch_balance_delta</t>
        </is>
      </c>
      <c r="AL2" s="43" t="inlineStr">
        <is>
          <t>wallet_activity</t>
        </is>
      </c>
      <c r="AM2" s="43" t="inlineStr">
        <is>
          <t>dominance_pct</t>
        </is>
      </c>
      <c r="AN2" s="43" t="inlineStr">
        <is>
          <t>note_operator</t>
        </is>
      </c>
      <c r="AO2" s="43" t="inlineStr">
        <is>
          <t>mm_note</t>
        </is>
      </c>
    </row>
    <row r="3" ht="15" customHeight="1" s="29">
      <c r="A3" s="44" t="inlineStr">
        <is>
          <t>2026-07-01</t>
        </is>
      </c>
      <c r="B3" s="45" t="n">
        <v>0.00096641</v>
      </c>
      <c r="D3" s="46" t="n">
        <v>1802364</v>
      </c>
      <c r="E3" s="47" t="n">
        <v>45.87</v>
      </c>
      <c r="F3" s="48" t="n">
        <v>5e-05</v>
      </c>
      <c r="G3" s="48" t="n">
        <v>5e-05</v>
      </c>
      <c r="H3" s="48" t="n">
        <v>5e-05</v>
      </c>
      <c r="I3" s="49" t="n">
        <v>6</v>
      </c>
      <c r="J3" s="50" t="inlineStr">
        <is>
          <t>PINNED</t>
        </is>
      </c>
      <c r="L3" s="46" t="n">
        <v>7270937</v>
      </c>
      <c r="O3" s="51" t="n">
        <v>1.4457</v>
      </c>
      <c r="P3" s="51" t="n">
        <v>1.6674</v>
      </c>
      <c r="Q3" s="51" t="n">
        <v>1.8193</v>
      </c>
      <c r="R3" s="52">
        <f>IFERROR(O3/P3,"")</f>
        <v/>
      </c>
      <c r="AA3" s="50" t="inlineStr">
        <is>
          <t>gate</t>
        </is>
      </c>
      <c r="AJ3" s="47">
        <f>IF(OR(AB3="",D3="",D3=0),"",AB3/D3)</f>
        <v/>
      </c>
    </row>
    <row r="4" ht="15" customHeight="1" s="29">
      <c r="A4" s="44" t="inlineStr">
        <is>
          <t>2026-07-02</t>
        </is>
      </c>
      <c r="B4" s="45" t="n">
        <v>0.000975452</v>
      </c>
      <c r="C4" s="53">
        <f>IFERROR(B4/B3-1,"")</f>
        <v/>
      </c>
      <c r="D4" s="46" t="n">
        <v>2504122</v>
      </c>
      <c r="E4" s="47" t="n">
        <v>45.71</v>
      </c>
      <c r="F4" s="48" t="n">
        <v>5e-05</v>
      </c>
      <c r="G4" s="48" t="n">
        <v>5e-05</v>
      </c>
      <c r="H4" s="48" t="n">
        <v>5e-05</v>
      </c>
      <c r="I4" s="49" t="n">
        <v>6</v>
      </c>
      <c r="J4" s="50" t="inlineStr">
        <is>
          <t>PINNED</t>
        </is>
      </c>
      <c r="L4" s="46" t="n">
        <v>6974247</v>
      </c>
      <c r="O4" s="51" t="n">
        <v>1.5688</v>
      </c>
      <c r="P4" s="51" t="n">
        <v>1.7122</v>
      </c>
      <c r="Q4" s="51" t="n">
        <v>1.9343</v>
      </c>
      <c r="R4" s="52">
        <f>IFERROR(O4/P4,"")</f>
        <v/>
      </c>
      <c r="AA4" s="50" t="inlineStr">
        <is>
          <t>gate</t>
        </is>
      </c>
      <c r="AJ4" s="47">
        <f>IF(OR(AB4="",D4="",D4=0),"",AB4/D4)</f>
        <v/>
      </c>
    </row>
    <row r="5" ht="15" customHeight="1" s="29">
      <c r="A5" s="44" t="inlineStr">
        <is>
          <t>2026-07-03</t>
        </is>
      </c>
      <c r="B5" s="45" t="n">
        <v>0.000949799</v>
      </c>
      <c r="C5" s="53">
        <f>IFERROR(B5/B4-1,"")</f>
        <v/>
      </c>
      <c r="D5" s="46" t="n">
        <v>1268001</v>
      </c>
      <c r="E5" s="47" t="n">
        <v>50.47</v>
      </c>
      <c r="F5" s="48" t="n">
        <v>5e-05</v>
      </c>
      <c r="G5" s="48" t="n">
        <v>5e-05</v>
      </c>
      <c r="H5" s="48" t="n">
        <v>5e-05</v>
      </c>
      <c r="I5" s="49" t="n">
        <v>6</v>
      </c>
      <c r="J5" s="50" t="inlineStr">
        <is>
          <t>PINNED</t>
        </is>
      </c>
      <c r="L5" s="46" t="n">
        <v>6992084</v>
      </c>
      <c r="O5" s="51" t="n">
        <v>1.547</v>
      </c>
      <c r="P5" s="51" t="n">
        <v>1.7495</v>
      </c>
      <c r="Q5" s="51" t="n">
        <v>2.0562</v>
      </c>
      <c r="R5" s="52">
        <f>IFERROR(O5/P5,"")</f>
        <v/>
      </c>
      <c r="S5" s="52">
        <f>IFERROR(AVERAGE(R3:R5),"")</f>
        <v/>
      </c>
      <c r="AA5" s="50" t="inlineStr">
        <is>
          <t>gate</t>
        </is>
      </c>
      <c r="AJ5" s="47">
        <f>IF(OR(AB5="",D5="",D5=0),"",AB5/D5)</f>
        <v/>
      </c>
    </row>
    <row r="6" ht="15" customHeight="1" s="29">
      <c r="A6" s="44" t="inlineStr">
        <is>
          <t>2026-07-04</t>
        </is>
      </c>
      <c r="B6" s="45" t="n">
        <v>0.000920975</v>
      </c>
      <c r="C6" s="53">
        <f>IFERROR(B6/B5-1,"")</f>
        <v/>
      </c>
      <c r="D6" s="46" t="n">
        <v>3082838</v>
      </c>
      <c r="E6" s="47" t="n">
        <v>45.64</v>
      </c>
      <c r="F6" s="48" t="n">
        <v>5e-05</v>
      </c>
      <c r="G6" s="48" t="n">
        <v>5e-05</v>
      </c>
      <c r="H6" s="48" t="n">
        <v>5e-05</v>
      </c>
      <c r="I6" s="49" t="n">
        <v>6</v>
      </c>
      <c r="J6" s="50" t="inlineStr">
        <is>
          <t>PINNED</t>
        </is>
      </c>
      <c r="L6" s="46" t="n">
        <v>7127205</v>
      </c>
      <c r="O6" s="51" t="n">
        <v>1.5514</v>
      </c>
      <c r="P6" s="51" t="n">
        <v>1.745</v>
      </c>
      <c r="Q6" s="51" t="n">
        <v>2.0349</v>
      </c>
      <c r="R6" s="52">
        <f>IFERROR(O6/P6,"")</f>
        <v/>
      </c>
      <c r="S6" s="52">
        <f>IFERROR(AVERAGE(R4:R6),"")</f>
        <v/>
      </c>
      <c r="U6" s="53">
        <f>IFERROR(O6/O3-1,"")</f>
        <v/>
      </c>
      <c r="V6" s="53">
        <f>IFERROR(P6/P3-1,"")</f>
        <v/>
      </c>
      <c r="AA6" s="50" t="inlineStr">
        <is>
          <t>gate</t>
        </is>
      </c>
      <c r="AJ6" s="47">
        <f>IF(OR(AB6="",D6="",D6=0),"",AB6/D6)</f>
        <v/>
      </c>
    </row>
    <row r="7" ht="15" customHeight="1" s="29">
      <c r="A7" s="44" t="inlineStr">
        <is>
          <t>2026-07-05</t>
        </is>
      </c>
      <c r="B7" s="45" t="n">
        <v>0.00090706</v>
      </c>
      <c r="C7" s="53">
        <f>IFERROR(B7/B6-1,"")</f>
        <v/>
      </c>
      <c r="D7" s="46" t="n">
        <v>1601806</v>
      </c>
      <c r="E7" s="47" t="n">
        <v>49.24</v>
      </c>
      <c r="F7" s="48" t="n">
        <v>5e-05</v>
      </c>
      <c r="G7" s="48" t="n">
        <v>5e-05</v>
      </c>
      <c r="H7" s="48" t="n">
        <v>5e-05</v>
      </c>
      <c r="I7" s="49" t="n">
        <v>6</v>
      </c>
      <c r="J7" s="50" t="inlineStr">
        <is>
          <t>PINNED</t>
        </is>
      </c>
      <c r="L7" s="46" t="n">
        <v>6611465</v>
      </c>
      <c r="O7" s="51" t="n">
        <v>1.5949</v>
      </c>
      <c r="P7" s="51" t="n">
        <v>1.8289</v>
      </c>
      <c r="Q7" s="51" t="n">
        <v>2.0855</v>
      </c>
      <c r="R7" s="52">
        <f>IFERROR(O7/P7,"")</f>
        <v/>
      </c>
      <c r="S7" s="52">
        <f>IFERROR(AVERAGE(R5:R7),"")</f>
        <v/>
      </c>
      <c r="U7" s="53">
        <f>IFERROR(O7/O4-1,"")</f>
        <v/>
      </c>
      <c r="V7" s="53">
        <f>IFERROR(P7/P4-1,"")</f>
        <v/>
      </c>
      <c r="AA7" s="50" t="inlineStr">
        <is>
          <t>gate</t>
        </is>
      </c>
      <c r="AJ7" s="47">
        <f>IF(OR(AB7="",D7="",D7=0),"",AB7/D7)</f>
        <v/>
      </c>
    </row>
    <row r="8" ht="15" customHeight="1" s="29">
      <c r="A8" s="44" t="inlineStr">
        <is>
          <t>2026-07-06</t>
        </is>
      </c>
      <c r="B8" s="45" t="n">
        <v>0.00088851</v>
      </c>
      <c r="C8" s="53">
        <f>IFERROR(B8/B7-1,"")</f>
        <v/>
      </c>
      <c r="D8" s="46" t="n">
        <v>1243313</v>
      </c>
      <c r="E8" s="47" t="n">
        <v>45.46</v>
      </c>
      <c r="F8" s="48" t="n">
        <v>5e-05</v>
      </c>
      <c r="G8" s="48" t="n">
        <v>5e-05</v>
      </c>
      <c r="H8" s="48" t="n">
        <v>5e-05</v>
      </c>
      <c r="I8" s="49" t="n">
        <v>6</v>
      </c>
      <c r="J8" s="50" t="inlineStr">
        <is>
          <t>PINNED</t>
        </is>
      </c>
      <c r="L8" s="46" t="n">
        <v>6738572</v>
      </c>
      <c r="O8" s="51" t="n">
        <v>1.6006</v>
      </c>
      <c r="P8" s="51" t="n">
        <v>1.8305</v>
      </c>
      <c r="Q8" s="51" t="n">
        <v>2.1133</v>
      </c>
      <c r="R8" s="52">
        <f>IFERROR(O8/P8,"")</f>
        <v/>
      </c>
      <c r="S8" s="52">
        <f>IFERROR(AVERAGE(R6:R8),"")</f>
        <v/>
      </c>
      <c r="T8" s="52">
        <f>IFERROR(Q8/Q3,"")</f>
        <v/>
      </c>
      <c r="U8" s="53">
        <f>IFERROR(O8/O5-1,"")</f>
        <v/>
      </c>
      <c r="V8" s="53">
        <f>IFERROR(P8/P5-1,"")</f>
        <v/>
      </c>
      <c r="AA8" s="50" t="inlineStr">
        <is>
          <t>gate</t>
        </is>
      </c>
      <c r="AJ8" s="47">
        <f>IF(OR(AB8="",D8="",D8=0),"",AB8/D8)</f>
        <v/>
      </c>
    </row>
    <row r="9" ht="15" customHeight="1" s="29">
      <c r="A9" s="44" t="inlineStr">
        <is>
          <t>2026-07-07</t>
        </is>
      </c>
      <c r="B9" s="45" t="n">
        <v>0.000895882</v>
      </c>
      <c r="C9" s="53">
        <f>IFERROR(B9/B8-1,"")</f>
        <v/>
      </c>
      <c r="D9" s="46" t="n">
        <v>3398704</v>
      </c>
      <c r="E9" s="47" t="n">
        <v>49.79</v>
      </c>
      <c r="F9" s="48" t="n">
        <v>5e-05</v>
      </c>
      <c r="G9" s="48" t="n">
        <v>5e-05</v>
      </c>
      <c r="H9" s="48" t="n">
        <v>5e-05</v>
      </c>
      <c r="I9" s="49" t="n">
        <v>6</v>
      </c>
      <c r="J9" s="50" t="inlineStr">
        <is>
          <t>PINNED</t>
        </is>
      </c>
      <c r="L9" s="46" t="n">
        <v>6576630</v>
      </c>
      <c r="O9" s="51" t="n">
        <v>1.5964</v>
      </c>
      <c r="P9" s="51" t="n">
        <v>1.867</v>
      </c>
      <c r="Q9" s="51" t="n">
        <v>2.1576</v>
      </c>
      <c r="R9" s="52">
        <f>IFERROR(O9/P9,"")</f>
        <v/>
      </c>
      <c r="S9" s="52">
        <f>IFERROR(AVERAGE(R7:R9),"")</f>
        <v/>
      </c>
      <c r="T9" s="52">
        <f>IFERROR(Q9/Q4,"")</f>
        <v/>
      </c>
      <c r="U9" s="53">
        <f>IFERROR(O9/O6-1,"")</f>
        <v/>
      </c>
      <c r="V9" s="53">
        <f>IFERROR(P9/P6-1,"")</f>
        <v/>
      </c>
      <c r="AA9" s="50" t="inlineStr">
        <is>
          <t>gate</t>
        </is>
      </c>
      <c r="AJ9" s="47">
        <f>IF(OR(AB9="",D9="",D9=0),"",AB9/D9)</f>
        <v/>
      </c>
    </row>
    <row r="10" ht="15" customHeight="1" s="29">
      <c r="A10" s="44" t="inlineStr">
        <is>
          <t>2026-07-08</t>
        </is>
      </c>
      <c r="B10" s="45" t="n">
        <v>0.000487977</v>
      </c>
      <c r="C10" s="53">
        <f>IFERROR(B10/B9-1,"")</f>
        <v/>
      </c>
      <c r="D10" s="46" t="n">
        <v>71087080</v>
      </c>
      <c r="E10" s="47" t="n">
        <v>49.37</v>
      </c>
      <c r="F10" s="48" t="n">
        <v>5e-05</v>
      </c>
      <c r="G10" s="48" t="n">
        <v>5e-05</v>
      </c>
      <c r="H10" s="48" t="n">
        <v>5e-05</v>
      </c>
      <c r="I10" s="49" t="n">
        <v>6</v>
      </c>
      <c r="J10" s="50" t="inlineStr">
        <is>
          <t>PINNED</t>
        </is>
      </c>
      <c r="L10" s="46" t="n">
        <v>6395269</v>
      </c>
      <c r="O10" s="51" t="n">
        <v>1.5913</v>
      </c>
      <c r="P10" s="51" t="n">
        <v>1.5562</v>
      </c>
      <c r="Q10" s="51" t="n">
        <v>1.8818</v>
      </c>
      <c r="R10" s="52">
        <f>IFERROR(O10/P10,"")</f>
        <v/>
      </c>
      <c r="S10" s="52">
        <f>IFERROR(AVERAGE(R8:R10),"")</f>
        <v/>
      </c>
      <c r="T10" s="52">
        <f>IFERROR(Q10/Q5,"")</f>
        <v/>
      </c>
      <c r="U10" s="53">
        <f>IFERROR(O10/O7-1,"")</f>
        <v/>
      </c>
      <c r="V10" s="53">
        <f>IFERROR(P10/P7-1,"")</f>
        <v/>
      </c>
      <c r="AA10" s="50" t="inlineStr">
        <is>
          <t>gate</t>
        </is>
      </c>
      <c r="AJ10" s="47">
        <f>IF(OR(AB10="",D10="",D10=0),"",AB10/D10)</f>
        <v/>
      </c>
      <c r="AN10" s="50" t="inlineStr">
        <is>
          <t>flash crash -25% (wash-by-crash)</t>
        </is>
      </c>
    </row>
    <row r="11" ht="15" customHeight="1" s="29">
      <c r="A11" s="44" t="inlineStr">
        <is>
          <t>2026-07-09</t>
        </is>
      </c>
      <c r="B11" s="45" t="n">
        <v>0.00082473</v>
      </c>
      <c r="C11" s="53">
        <f>IFERROR(B11/B10-1,"")</f>
        <v/>
      </c>
      <c r="D11" s="46" t="n">
        <v>448935788</v>
      </c>
      <c r="E11" s="47" t="n">
        <v>50.37</v>
      </c>
      <c r="F11" s="48" t="n">
        <v>5.99e-05</v>
      </c>
      <c r="G11" s="48" t="n">
        <v>5e-05</v>
      </c>
      <c r="H11" s="48" t="n">
        <v>0.00010943</v>
      </c>
      <c r="I11" s="49" t="n">
        <v>6</v>
      </c>
      <c r="L11" s="46" t="n">
        <v>5641637</v>
      </c>
      <c r="O11" s="51" t="n">
        <v>1.4641</v>
      </c>
      <c r="P11" s="51" t="n">
        <v>1.1777</v>
      </c>
      <c r="Q11" s="51" t="n">
        <v>1.3294</v>
      </c>
      <c r="R11" s="52">
        <f>IFERROR(O11/P11,"")</f>
        <v/>
      </c>
      <c r="S11" s="52">
        <f>IFERROR(AVERAGE(R9:R11),"")</f>
        <v/>
      </c>
      <c r="T11" s="52">
        <f>IFERROR(Q11/Q6,"")</f>
        <v/>
      </c>
      <c r="U11" s="53">
        <f>IFERROR(O11/O8-1,"")</f>
        <v/>
      </c>
      <c r="V11" s="53">
        <f>IFERROR(P11/P8-1,"")</f>
        <v/>
      </c>
      <c r="W11" s="50" t="inlineStr">
        <is>
          <t>crowd_flush(crash)</t>
        </is>
      </c>
      <c r="AA11" s="50" t="inlineStr">
        <is>
          <t>gate</t>
        </is>
      </c>
      <c r="AJ11" s="47">
        <f>IF(OR(AB11="",D11="",D11=0),"",AB11/D11)</f>
        <v/>
      </c>
      <c r="AN11" s="50" t="inlineStr">
        <is>
          <t>vol $449M ~100x nen; gLSR sap 2.1-&gt;0.62</t>
        </is>
      </c>
    </row>
    <row r="12" ht="15" customHeight="1" s="29">
      <c r="A12" s="44" t="inlineStr">
        <is>
          <t>2026-07-10</t>
        </is>
      </c>
      <c r="B12" s="45" t="n">
        <v>0.0009813389999999999</v>
      </c>
      <c r="C12" s="53">
        <f>IFERROR(B12/B11-1,"")</f>
        <v/>
      </c>
      <c r="D12" s="46" t="n">
        <v>263925355</v>
      </c>
      <c r="E12" s="47" t="n">
        <v>50.79</v>
      </c>
      <c r="F12" s="48" t="n">
        <v>8.57e-05</v>
      </c>
      <c r="G12" s="48" t="n">
        <v>5e-05</v>
      </c>
      <c r="H12" s="48" t="n">
        <v>0.00018188</v>
      </c>
      <c r="I12" s="49" t="n">
        <v>6</v>
      </c>
      <c r="L12" s="46" t="n">
        <v>9649060</v>
      </c>
      <c r="O12" s="51" t="n">
        <v>1.3405</v>
      </c>
      <c r="P12" s="51" t="n">
        <v>0.6725</v>
      </c>
      <c r="Q12" s="51" t="n">
        <v>0.7068</v>
      </c>
      <c r="R12" s="52">
        <f>IFERROR(O12/P12,"")</f>
        <v/>
      </c>
      <c r="S12" s="52">
        <f>IFERROR(AVERAGE(R10:R12),"")</f>
        <v/>
      </c>
      <c r="T12" s="52">
        <f>IFERROR(Q12/Q7,"")</f>
        <v/>
      </c>
      <c r="U12" s="53">
        <f>IFERROR(O12/O9-1,"")</f>
        <v/>
      </c>
      <c r="V12" s="53">
        <f>IFERROR(P12/P9-1,"")</f>
        <v/>
      </c>
      <c r="W12" s="50" t="inlineStr">
        <is>
          <t>lsr_accum</t>
        </is>
      </c>
      <c r="AA12" s="50" t="inlineStr">
        <is>
          <t>gate</t>
        </is>
      </c>
      <c r="AJ12" s="47">
        <f>IF(OR(AB12="",D12="",D12=0),"",AB12/D12)</f>
        <v/>
      </c>
    </row>
    <row r="13" ht="15" customHeight="1" s="29">
      <c r="A13" s="44" t="inlineStr">
        <is>
          <t>2026-07-11</t>
        </is>
      </c>
      <c r="B13" s="45" t="n">
        <v>0.000975026</v>
      </c>
      <c r="C13" s="53">
        <f>IFERROR(B13/B12-1,"")</f>
        <v/>
      </c>
      <c r="D13" s="46" t="n">
        <v>78961425</v>
      </c>
      <c r="E13" s="47" t="n">
        <v>50.42</v>
      </c>
      <c r="F13" s="48" t="n">
        <v>5e-05</v>
      </c>
      <c r="G13" s="48" t="n">
        <v>5e-05</v>
      </c>
      <c r="H13" s="48" t="n">
        <v>5e-05</v>
      </c>
      <c r="I13" s="49" t="n">
        <v>6</v>
      </c>
      <c r="L13" s="46" t="n">
        <v>10560107</v>
      </c>
      <c r="O13" s="51" t="n">
        <v>1.2976</v>
      </c>
      <c r="P13" s="51" t="n">
        <v>0.626</v>
      </c>
      <c r="Q13" s="51" t="n">
        <v>0.6875</v>
      </c>
      <c r="R13" s="52">
        <f>IFERROR(O13/P13,"")</f>
        <v/>
      </c>
      <c r="S13" s="52">
        <f>IFERROR(AVERAGE(R11:R13),"")</f>
        <v/>
      </c>
      <c r="T13" s="52">
        <f>IFERROR(Q13/Q8,"")</f>
        <v/>
      </c>
      <c r="U13" s="53">
        <f>IFERROR(O13/O10-1,"")</f>
        <v/>
      </c>
      <c r="V13" s="53">
        <f>IFERROR(P13/P10-1,"")</f>
        <v/>
      </c>
      <c r="W13" s="50" t="inlineStr">
        <is>
          <t>lsr_accum</t>
        </is>
      </c>
      <c r="AA13" s="50" t="inlineStr">
        <is>
          <t>gate</t>
        </is>
      </c>
      <c r="AJ13" s="47">
        <f>IF(OR(AB13="",D13="",D13=0),"",AB13/D13)</f>
        <v/>
      </c>
    </row>
    <row r="14" ht="15" customHeight="1" s="29">
      <c r="A14" s="44" t="inlineStr">
        <is>
          <t>2026-07-12</t>
        </is>
      </c>
      <c r="B14" s="45" t="n">
        <v>0.000930228</v>
      </c>
      <c r="C14" s="53">
        <f>IFERROR(B14/B13-1,"")</f>
        <v/>
      </c>
      <c r="D14" s="46" t="n">
        <v>34682897</v>
      </c>
      <c r="E14" s="47" t="n">
        <v>50.55</v>
      </c>
      <c r="F14" s="48" t="n">
        <v>5e-05</v>
      </c>
      <c r="G14" s="48" t="n">
        <v>5e-05</v>
      </c>
      <c r="H14" s="48" t="n">
        <v>5e-05</v>
      </c>
      <c r="I14" s="49" t="n">
        <v>6</v>
      </c>
      <c r="L14" s="46" t="n">
        <v>9508009</v>
      </c>
      <c r="O14" s="51" t="n">
        <v>1.555</v>
      </c>
      <c r="P14" s="51" t="n">
        <v>0.6412</v>
      </c>
      <c r="Q14" s="51" t="n">
        <v>0.7112000000000001</v>
      </c>
      <c r="R14" s="52">
        <f>IFERROR(O14/P14,"")</f>
        <v/>
      </c>
      <c r="S14" s="52">
        <f>IFERROR(AVERAGE(R12:R14),"")</f>
        <v/>
      </c>
      <c r="T14" s="52">
        <f>IFERROR(Q14/Q9,"")</f>
        <v/>
      </c>
      <c r="U14" s="53">
        <f>IFERROR(O14/O11-1,"")</f>
        <v/>
      </c>
      <c r="V14" s="53">
        <f>IFERROR(P14/P11-1,"")</f>
        <v/>
      </c>
      <c r="W14" s="50" t="inlineStr">
        <is>
          <t>lsr_accum</t>
        </is>
      </c>
      <c r="AA14" s="50" t="inlineStr">
        <is>
          <t>gate</t>
        </is>
      </c>
      <c r="AJ14" s="47">
        <f>IF(OR(AB14="",D14="",D14=0),"",AB14/D14)</f>
        <v/>
      </c>
    </row>
    <row r="15" ht="15" customHeight="1" s="29">
      <c r="A15" s="44" t="inlineStr">
        <is>
          <t>2026-07-13</t>
        </is>
      </c>
      <c r="B15" s="45" t="n">
        <v>0.000937165</v>
      </c>
      <c r="C15" s="53">
        <f>IFERROR(B15/B14-1,"")</f>
        <v/>
      </c>
      <c r="D15" s="46" t="n">
        <v>19461999</v>
      </c>
      <c r="E15" s="47" t="n">
        <v>51.14</v>
      </c>
      <c r="F15" s="48" t="n">
        <v>5e-05</v>
      </c>
      <c r="G15" s="48" t="n">
        <v>5e-05</v>
      </c>
      <c r="H15" s="48" t="n">
        <v>5e-05</v>
      </c>
      <c r="I15" s="49" t="n">
        <v>6</v>
      </c>
      <c r="L15" s="46" t="n">
        <v>9137824</v>
      </c>
      <c r="O15" s="51" t="n">
        <v>1.2891</v>
      </c>
      <c r="P15" s="51" t="n">
        <v>0.6536999999999999</v>
      </c>
      <c r="Q15" s="51" t="n">
        <v>0.7406</v>
      </c>
      <c r="R15" s="52">
        <f>IFERROR(O15/P15,"")</f>
        <v/>
      </c>
      <c r="S15" s="52">
        <f>IFERROR(AVERAGE(R13:R15),"")</f>
        <v/>
      </c>
      <c r="T15" s="52">
        <f>IFERROR(Q15/Q10,"")</f>
        <v/>
      </c>
      <c r="U15" s="53">
        <f>IFERROR(O15/O12-1,"")</f>
        <v/>
      </c>
      <c r="V15" s="53">
        <f>IFERROR(P15/P12-1,"")</f>
        <v/>
      </c>
      <c r="W15" s="50" t="inlineStr">
        <is>
          <t>lsr_accum</t>
        </is>
      </c>
      <c r="AA15" s="50" t="inlineStr">
        <is>
          <t>gate</t>
        </is>
      </c>
      <c r="AJ15" s="47">
        <f>IF(OR(AB15="",D15="",D15=0),"",AB15/D15)</f>
        <v/>
      </c>
      <c r="AL15" s="50" t="inlineStr">
        <is>
          <t>7% supply -&gt; 5 vi moi, hold (13-16/07)</t>
        </is>
      </c>
    </row>
    <row r="16" ht="15" customHeight="1" s="29">
      <c r="A16" s="44" t="inlineStr">
        <is>
          <t>2026-07-14</t>
        </is>
      </c>
      <c r="B16" s="45" t="n">
        <v>0.00088581</v>
      </c>
      <c r="C16" s="53">
        <f>IFERROR(B16/B15-1,"")</f>
        <v/>
      </c>
      <c r="D16" s="46" t="n">
        <v>10837328</v>
      </c>
      <c r="E16" s="47" t="n">
        <v>52.09</v>
      </c>
      <c r="F16" s="48" t="n">
        <v>5e-05</v>
      </c>
      <c r="G16" s="48" t="n">
        <v>5e-05</v>
      </c>
      <c r="H16" s="48" t="n">
        <v>5e-05</v>
      </c>
      <c r="I16" s="49" t="n">
        <v>6</v>
      </c>
      <c r="L16" s="46" t="n">
        <v>8251049</v>
      </c>
      <c r="O16" s="51" t="n">
        <v>1.3258</v>
      </c>
      <c r="P16" s="51" t="n">
        <v>0.7524999999999999</v>
      </c>
      <c r="Q16" s="51" t="n">
        <v>0.8622</v>
      </c>
      <c r="R16" s="52">
        <f>IFERROR(O16/P16,"")</f>
        <v/>
      </c>
      <c r="S16" s="52">
        <f>IFERROR(AVERAGE(R14:R16),"")</f>
        <v/>
      </c>
      <c r="T16" s="52">
        <f>IFERROR(Q16/Q11,"")</f>
        <v/>
      </c>
      <c r="U16" s="53">
        <f>IFERROR(O16/O13-1,"")</f>
        <v/>
      </c>
      <c r="V16" s="53">
        <f>IFERROR(P16/P13-1,"")</f>
        <v/>
      </c>
      <c r="W16" s="50" t="inlineStr">
        <is>
          <t>lsr_accum</t>
        </is>
      </c>
      <c r="AA16" s="50" t="inlineStr">
        <is>
          <t>gate</t>
        </is>
      </c>
      <c r="AJ16" s="47">
        <f>IF(OR(AB16="",D16="",D16=0),"",AB16/D16)</f>
        <v/>
      </c>
    </row>
    <row r="17" ht="15" customHeight="1" s="29">
      <c r="A17" s="44" t="inlineStr">
        <is>
          <t>2026-07-15</t>
        </is>
      </c>
      <c r="B17" s="45" t="n">
        <v>0.000872343</v>
      </c>
      <c r="C17" s="53">
        <f>IFERROR(B17/B16-1,"")</f>
        <v/>
      </c>
      <c r="D17" s="46" t="n">
        <v>6576913</v>
      </c>
      <c r="E17" s="47" t="n">
        <v>49.24</v>
      </c>
      <c r="F17" s="48" t="n">
        <v>5e-05</v>
      </c>
      <c r="G17" s="48" t="n">
        <v>5e-05</v>
      </c>
      <c r="H17" s="48" t="n">
        <v>5e-05</v>
      </c>
      <c r="I17" s="49" t="n">
        <v>6</v>
      </c>
      <c r="L17" s="46" t="n">
        <v>7940865</v>
      </c>
      <c r="M17" s="54">
        <f>IFERROR(L17/MEDIAN(L3:L16),"")</f>
        <v/>
      </c>
      <c r="O17" s="51" t="n">
        <v>1.3551</v>
      </c>
      <c r="P17" s="51" t="n">
        <v>0.7322</v>
      </c>
      <c r="Q17" s="51" t="n">
        <v>0.8332000000000001</v>
      </c>
      <c r="R17" s="52">
        <f>IFERROR(O17/P17,"")</f>
        <v/>
      </c>
      <c r="S17" s="52">
        <f>IFERROR(AVERAGE(R15:R17),"")</f>
        <v/>
      </c>
      <c r="T17" s="52">
        <f>IFERROR(Q17/Q12,"")</f>
        <v/>
      </c>
      <c r="U17" s="53">
        <f>IFERROR(O17/O14-1,"")</f>
        <v/>
      </c>
      <c r="V17" s="53">
        <f>IFERROR(P17/P14-1,"")</f>
        <v/>
      </c>
      <c r="W17" s="50" t="inlineStr">
        <is>
          <t>lsr_accum</t>
        </is>
      </c>
      <c r="AA17" s="50" t="inlineStr">
        <is>
          <t>gate</t>
        </is>
      </c>
      <c r="AJ17" s="47">
        <f>IF(OR(AB17="",D17="",D17=0),"",AB17/D17)</f>
        <v/>
      </c>
    </row>
    <row r="18" ht="15" customHeight="1" s="29">
      <c r="A18" s="44" t="inlineStr">
        <is>
          <t>2026-07-16</t>
        </is>
      </c>
      <c r="B18" s="45" t="n">
        <v>0.0008485810000000001</v>
      </c>
      <c r="C18" s="53">
        <f>IFERROR(B18/B17-1,"")</f>
        <v/>
      </c>
      <c r="D18" s="46" t="n">
        <v>4433202</v>
      </c>
      <c r="E18" s="47" t="n">
        <v>50.1</v>
      </c>
      <c r="F18" s="48" t="n">
        <v>5e-05</v>
      </c>
      <c r="G18" s="48" t="n">
        <v>5e-05</v>
      </c>
      <c r="H18" s="48" t="n">
        <v>5e-05</v>
      </c>
      <c r="I18" s="49" t="n">
        <v>6</v>
      </c>
      <c r="L18" s="46" t="n">
        <v>7571915</v>
      </c>
      <c r="M18" s="54">
        <f>IFERROR(L18/MEDIAN(L4:L17),"")</f>
        <v/>
      </c>
      <c r="O18" s="51" t="n">
        <v>1.3748</v>
      </c>
      <c r="P18" s="51" t="n">
        <v>0.8464</v>
      </c>
      <c r="Q18" s="51" t="n">
        <v>0.9689</v>
      </c>
      <c r="R18" s="52">
        <f>IFERROR(O18/P18,"")</f>
        <v/>
      </c>
      <c r="S18" s="52">
        <f>IFERROR(AVERAGE(R16:R18),"")</f>
        <v/>
      </c>
      <c r="T18" s="52">
        <f>IFERROR(Q18/Q13,"")</f>
        <v/>
      </c>
      <c r="U18" s="53">
        <f>IFERROR(O18/O15-1,"")</f>
        <v/>
      </c>
      <c r="V18" s="53">
        <f>IFERROR(P18/P15-1,"")</f>
        <v/>
      </c>
      <c r="W18" s="50" t="inlineStr">
        <is>
          <t>lsr_accum</t>
        </is>
      </c>
      <c r="AA18" s="50" t="inlineStr">
        <is>
          <t>gate</t>
        </is>
      </c>
      <c r="AJ18" s="47">
        <f>IF(OR(AB18="",D18="",D18=0),"",AB18/D18)</f>
        <v/>
      </c>
    </row>
    <row r="19" ht="15" customHeight="1" s="29">
      <c r="A19" s="44" t="inlineStr">
        <is>
          <t>2026-07-17</t>
        </is>
      </c>
      <c r="B19" s="45" t="n">
        <v>0.000962506</v>
      </c>
      <c r="C19" s="53">
        <f>IFERROR(B19/B18-1,"")</f>
        <v/>
      </c>
      <c r="D19" s="46" t="n">
        <v>23083629</v>
      </c>
      <c r="E19" s="47" t="n">
        <v>51.41</v>
      </c>
      <c r="F19" s="48" t="n">
        <v>0.000114252</v>
      </c>
      <c r="G19" s="48" t="n">
        <v>5e-05</v>
      </c>
      <c r="H19" s="48" t="n">
        <v>0.00030836</v>
      </c>
      <c r="I19" s="49" t="n">
        <v>6</v>
      </c>
      <c r="J19" s="50" t="inlineStr">
        <is>
          <t>FLOAT</t>
        </is>
      </c>
      <c r="L19" s="46" t="n">
        <v>7519871</v>
      </c>
      <c r="M19" s="54">
        <f>IFERROR(L19/MEDIAN(L5:L18),"")</f>
        <v/>
      </c>
      <c r="O19" s="51" t="n">
        <v>1.7464</v>
      </c>
      <c r="P19" s="51" t="n">
        <v>0.8709</v>
      </c>
      <c r="Q19" s="51" t="n">
        <v>0.9635</v>
      </c>
      <c r="R19" s="52">
        <f>IFERROR(O19/P19,"")</f>
        <v/>
      </c>
      <c r="S19" s="52">
        <f>IFERROR(AVERAGE(R17:R19),"")</f>
        <v/>
      </c>
      <c r="T19" s="52">
        <f>IFERROR(Q19/Q14,"")</f>
        <v/>
      </c>
      <c r="U19" s="53">
        <f>IFERROR(O19/O16-1,"")</f>
        <v/>
      </c>
      <c r="V19" s="53">
        <f>IFERROR(P19/P16-1,"")</f>
        <v/>
      </c>
      <c r="W19" s="50" t="inlineStr">
        <is>
          <t>pos_rerate|funding_unpin</t>
        </is>
      </c>
      <c r="AA19" s="50" t="inlineStr">
        <is>
          <t>gate</t>
        </is>
      </c>
      <c r="AJ19" s="47">
        <f>IF(OR(AB19="",D19="",D19=0),"",AB19/D19)</f>
        <v/>
      </c>
    </row>
    <row r="20" ht="15" customHeight="1" s="29">
      <c r="A20" s="44" t="inlineStr">
        <is>
          <t>2026-07-18</t>
        </is>
      </c>
      <c r="B20" s="45" t="n">
        <v>0.0009773340000000001</v>
      </c>
      <c r="C20" s="53">
        <f>IFERROR(B20/B19-1,"")</f>
        <v/>
      </c>
      <c r="D20" s="46" t="n">
        <v>10381825</v>
      </c>
      <c r="E20" s="47" t="n">
        <v>50.63</v>
      </c>
      <c r="F20" s="48" t="n">
        <v>0.000167015</v>
      </c>
      <c r="G20" s="48" t="n">
        <v>5e-05</v>
      </c>
      <c r="H20" s="48" t="n">
        <v>0.00030784</v>
      </c>
      <c r="I20" s="49" t="n">
        <v>6</v>
      </c>
      <c r="L20" s="46" t="n">
        <v>8786155</v>
      </c>
      <c r="M20" s="54">
        <f>IFERROR(L20/MEDIAN(L6:L19),"")</f>
        <v/>
      </c>
      <c r="O20" s="51" t="n">
        <v>1.6971</v>
      </c>
      <c r="P20" s="51" t="n">
        <v>1</v>
      </c>
      <c r="Q20" s="51" t="n">
        <v>1.2129</v>
      </c>
      <c r="R20" s="52">
        <f>IFERROR(O20/P20,"")</f>
        <v/>
      </c>
      <c r="S20" s="52">
        <f>IFERROR(AVERAGE(R18:R20),"")</f>
        <v/>
      </c>
      <c r="T20" s="52">
        <f>IFERROR(Q20/Q15,"")</f>
        <v/>
      </c>
      <c r="U20" s="53">
        <f>IFERROR(O20/O17-1,"")</f>
        <v/>
      </c>
      <c r="V20" s="53">
        <f>IFERROR(P20/P17-1,"")</f>
        <v/>
      </c>
      <c r="AA20" s="50" t="inlineStr">
        <is>
          <t>gate</t>
        </is>
      </c>
      <c r="AJ20" s="47">
        <f>IF(OR(AB20="",D20="",D20=0),"",AB20/D20)</f>
        <v/>
      </c>
    </row>
    <row r="21" ht="15" customHeight="1" s="29">
      <c r="A21" s="44" t="inlineStr">
        <is>
          <t>2026-07-19</t>
        </is>
      </c>
      <c r="B21" s="45" t="n">
        <v>0.001192742</v>
      </c>
      <c r="C21" s="53">
        <f>IFERROR(B21/B20-1,"")</f>
        <v/>
      </c>
      <c r="D21" s="46" t="n">
        <v>58857563</v>
      </c>
      <c r="E21" s="47" t="n">
        <v>48.45</v>
      </c>
      <c r="F21" s="48" t="n">
        <v>0.000238805</v>
      </c>
      <c r="G21" s="48" t="n">
        <v>5e-05</v>
      </c>
      <c r="H21" s="48" t="n">
        <v>0.00048669</v>
      </c>
      <c r="I21" s="49" t="n">
        <v>6</v>
      </c>
      <c r="L21" s="46" t="n">
        <v>8738961</v>
      </c>
      <c r="M21" s="54">
        <f>IFERROR(L21/MEDIAN(L7:L20),"")</f>
        <v/>
      </c>
      <c r="O21" s="51" t="n">
        <v>1.7125</v>
      </c>
      <c r="P21" s="51" t="n">
        <v>1.1088</v>
      </c>
      <c r="Q21" s="51" t="n">
        <v>1.4172</v>
      </c>
      <c r="R21" s="52">
        <f>IFERROR(O21/P21,"")</f>
        <v/>
      </c>
      <c r="S21" s="52">
        <f>IFERROR(AVERAGE(R19:R21),"")</f>
        <v/>
      </c>
      <c r="T21" s="52">
        <f>IFERROR(Q21/Q16,"")</f>
        <v/>
      </c>
      <c r="U21" s="53">
        <f>IFERROR(O21/O18-1,"")</f>
        <v/>
      </c>
      <c r="V21" s="53">
        <f>IFERROR(P21/P18-1,"")</f>
        <v/>
      </c>
      <c r="AA21" s="50" t="inlineStr">
        <is>
          <t>gate</t>
        </is>
      </c>
      <c r="AJ21" s="47">
        <f>IF(OR(AB21="",D21="",D21=0),"",AB21/D21)</f>
        <v/>
      </c>
    </row>
    <row r="22" ht="15" customHeight="1" s="29">
      <c r="A22" s="44" t="inlineStr">
        <is>
          <t>2026-07-20</t>
        </is>
      </c>
      <c r="B22" s="45" t="n">
        <v>0.001192016</v>
      </c>
      <c r="C22" s="53">
        <f>IFERROR(B22/B21-1,"")</f>
        <v/>
      </c>
      <c r="D22" s="46" t="n">
        <v>13022427</v>
      </c>
      <c r="E22" s="47" t="n">
        <v>48.89</v>
      </c>
      <c r="F22" s="48" t="n">
        <v>0.000120535</v>
      </c>
      <c r="G22" s="48" t="n">
        <v>5e-05</v>
      </c>
      <c r="H22" s="48" t="n">
        <v>0.00026929</v>
      </c>
      <c r="I22" s="49" t="n">
        <v>6</v>
      </c>
      <c r="L22" s="46" t="n">
        <v>10260599</v>
      </c>
      <c r="M22" s="54">
        <f>IFERROR(L22/MEDIAN(L8:L21),"")</f>
        <v/>
      </c>
      <c r="O22" s="51" t="n">
        <v>1.7507</v>
      </c>
      <c r="P22" s="51" t="n">
        <v>1.0521</v>
      </c>
      <c r="Q22" s="51" t="n">
        <v>1.318</v>
      </c>
      <c r="R22" s="52">
        <f>IFERROR(O22/P22,"")</f>
        <v/>
      </c>
      <c r="S22" s="52">
        <f>IFERROR(AVERAGE(R20:R22),"")</f>
        <v/>
      </c>
      <c r="T22" s="52">
        <f>IFERROR(Q22/Q17,"")</f>
        <v/>
      </c>
      <c r="U22" s="53">
        <f>IFERROR(O22/O19-1,"")</f>
        <v/>
      </c>
      <c r="V22" s="53">
        <f>IFERROR(P22/P19-1,"")</f>
        <v/>
      </c>
      <c r="AA22" s="50" t="inlineStr">
        <is>
          <t>gate</t>
        </is>
      </c>
      <c r="AJ22" s="47">
        <f>IF(OR(AB22="",D22="",D22=0),"",AB22/D22)</f>
        <v/>
      </c>
    </row>
    <row r="23" ht="15" customHeight="1" s="29">
      <c r="A23" s="44" t="inlineStr">
        <is>
          <t>2026-07-21</t>
        </is>
      </c>
      <c r="B23" s="45" t="n">
        <v>0.001135269</v>
      </c>
      <c r="C23" s="53">
        <f>IFERROR(B23/B22-1,"")</f>
        <v/>
      </c>
      <c r="D23" s="46" t="n">
        <v>9960780</v>
      </c>
      <c r="E23" s="47" t="n">
        <v>52.19</v>
      </c>
      <c r="F23" s="48" t="n">
        <v>9.37e-05</v>
      </c>
      <c r="G23" s="48" t="n">
        <v>5e-05</v>
      </c>
      <c r="H23" s="48" t="n">
        <v>0.00023109</v>
      </c>
      <c r="I23" s="49" t="n">
        <v>6</v>
      </c>
      <c r="L23" s="46" t="n">
        <v>9461218</v>
      </c>
      <c r="M23" s="54">
        <f>IFERROR(L23/MEDIAN(L9:L22),"")</f>
        <v/>
      </c>
      <c r="O23" s="51" t="n">
        <v>1.7365</v>
      </c>
      <c r="P23" s="51" t="n">
        <v>1.0868</v>
      </c>
      <c r="Q23" s="51" t="n">
        <v>1.3958</v>
      </c>
      <c r="R23" s="52">
        <f>IFERROR(O23/P23,"")</f>
        <v/>
      </c>
      <c r="S23" s="52">
        <f>IFERROR(AVERAGE(R21:R23),"")</f>
        <v/>
      </c>
      <c r="T23" s="52">
        <f>IFERROR(Q23/Q18,"")</f>
        <v/>
      </c>
      <c r="U23" s="53">
        <f>IFERROR(O23/O20-1,"")</f>
        <v/>
      </c>
      <c r="V23" s="53">
        <f>IFERROR(P23/P20-1,"")</f>
        <v/>
      </c>
      <c r="AA23" s="50" t="inlineStr">
        <is>
          <t>gate</t>
        </is>
      </c>
      <c r="AJ23" s="47">
        <f>IF(OR(AB23="",D23="",D23=0),"",AB23/D23)</f>
        <v/>
      </c>
    </row>
    <row r="24" ht="15" customHeight="1" s="29">
      <c r="A24" s="44" t="inlineStr">
        <is>
          <t>2026-07-22</t>
        </is>
      </c>
      <c r="B24" s="45" t="n">
        <v>0.001077989</v>
      </c>
      <c r="C24" s="53">
        <f>IFERROR(B24/B23-1,"")</f>
        <v/>
      </c>
      <c r="D24" s="46" t="n">
        <v>10290454</v>
      </c>
      <c r="E24" s="47" t="n">
        <v>52.4</v>
      </c>
      <c r="F24" s="48" t="n">
        <v>5.81e-05</v>
      </c>
      <c r="G24" s="48" t="n">
        <v>5e-05</v>
      </c>
      <c r="H24" s="48" t="n">
        <v>9.88e-05</v>
      </c>
      <c r="I24" s="49" t="n">
        <v>6</v>
      </c>
      <c r="L24" s="46" t="n">
        <v>9817482</v>
      </c>
      <c r="M24" s="54">
        <f>IFERROR(L24/MEDIAN(L10:L23),"")</f>
        <v/>
      </c>
      <c r="O24" s="51" t="n">
        <v>1.7339</v>
      </c>
      <c r="P24" s="51" t="n">
        <v>1.1427</v>
      </c>
      <c r="Q24" s="51" t="n">
        <v>1.5349</v>
      </c>
      <c r="R24" s="52">
        <f>IFERROR(O24/P24,"")</f>
        <v/>
      </c>
      <c r="S24" s="52">
        <f>IFERROR(AVERAGE(R22:R24),"")</f>
        <v/>
      </c>
      <c r="T24" s="52">
        <f>IFERROR(Q24/Q19,"")</f>
        <v/>
      </c>
      <c r="U24" s="53">
        <f>IFERROR(O24/O21-1,"")</f>
        <v/>
      </c>
      <c r="V24" s="53">
        <f>IFERROR(P24/P21-1,"")</f>
        <v/>
      </c>
      <c r="AA24" s="50" t="inlineStr">
        <is>
          <t>gate</t>
        </is>
      </c>
      <c r="AJ24" s="47">
        <f>IF(OR(AB24="",D24="",D24=0),"",AB24/D24)</f>
        <v/>
      </c>
    </row>
    <row r="25" ht="15" customHeight="1" s="29">
      <c r="A25" s="44" t="inlineStr">
        <is>
          <t>2026-07-23</t>
        </is>
      </c>
      <c r="B25" s="45" t="n">
        <v>0.00103622</v>
      </c>
      <c r="C25" s="53">
        <f>IFERROR(B25/B24-1,"")</f>
        <v/>
      </c>
      <c r="D25" s="46" t="n">
        <v>4854076</v>
      </c>
      <c r="E25" s="47" t="n">
        <v>50.43</v>
      </c>
      <c r="F25" s="48" t="n">
        <v>7.37e-05</v>
      </c>
      <c r="G25" s="48" t="n">
        <v>5e-05</v>
      </c>
      <c r="H25" s="48" t="n">
        <v>0.00015144</v>
      </c>
      <c r="I25" s="49" t="n">
        <v>6</v>
      </c>
      <c r="L25" s="46" t="n">
        <v>8886912</v>
      </c>
      <c r="M25" s="54">
        <f>IFERROR(L25/MEDIAN(L11:L24),"")</f>
        <v/>
      </c>
      <c r="O25" s="51" t="n">
        <v>1.6934</v>
      </c>
      <c r="P25" s="51" t="n">
        <v>1.1529</v>
      </c>
      <c r="Q25" s="51" t="n">
        <v>1.5589</v>
      </c>
      <c r="R25" s="52">
        <f>IFERROR(O25/P25,"")</f>
        <v/>
      </c>
      <c r="S25" s="52">
        <f>IFERROR(AVERAGE(R23:R25),"")</f>
        <v/>
      </c>
      <c r="T25" s="52">
        <f>IFERROR(Q25/Q20,"")</f>
        <v/>
      </c>
      <c r="U25" s="53">
        <f>IFERROR(O25/O22-1,"")</f>
        <v/>
      </c>
      <c r="V25" s="53">
        <f>IFERROR(P25/P22-1,"")</f>
        <v/>
      </c>
      <c r="AA25" s="50" t="inlineStr">
        <is>
          <t>gate</t>
        </is>
      </c>
      <c r="AJ25" s="47">
        <f>IF(OR(AB25="",D25="",D25=0),"",AB25/D25)</f>
        <v/>
      </c>
    </row>
    <row r="26" ht="15" customHeight="1" s="29">
      <c r="A26" s="44" t="inlineStr">
        <is>
          <t>2026-07-24</t>
        </is>
      </c>
      <c r="B26" s="45" t="n">
        <v>0.001028873</v>
      </c>
      <c r="C26" s="53">
        <f>IFERROR(B26/B25-1,"")</f>
        <v/>
      </c>
      <c r="D26" s="46" t="n">
        <v>5807309</v>
      </c>
      <c r="E26" s="47" t="n">
        <v>51.19</v>
      </c>
      <c r="F26" s="48" t="n">
        <v>5e-05</v>
      </c>
      <c r="G26" s="48" t="n">
        <v>5e-05</v>
      </c>
      <c r="H26" s="48" t="n">
        <v>5e-05</v>
      </c>
      <c r="I26" s="49" t="n">
        <v>6</v>
      </c>
      <c r="L26" s="46" t="n">
        <v>8233374</v>
      </c>
      <c r="M26" s="54">
        <f>IFERROR(L26/MEDIAN(L12:L25),"")</f>
        <v/>
      </c>
      <c r="O26" s="51" t="n">
        <v>1.6937</v>
      </c>
      <c r="P26" s="51" t="n">
        <v>1.1524</v>
      </c>
      <c r="Q26" s="51" t="n">
        <v>1.5253</v>
      </c>
      <c r="R26" s="52">
        <f>IFERROR(O26/P26,"")</f>
        <v/>
      </c>
      <c r="S26" s="52">
        <f>IFERROR(AVERAGE(R24:R26),"")</f>
        <v/>
      </c>
      <c r="T26" s="52">
        <f>IFERROR(Q26/Q21,"")</f>
        <v/>
      </c>
      <c r="U26" s="53">
        <f>IFERROR(O26/O23-1,"")</f>
        <v/>
      </c>
      <c r="V26" s="53">
        <f>IFERROR(P26/P23-1,"")</f>
        <v/>
      </c>
      <c r="AA26" s="50" t="inlineStr">
        <is>
          <t>gate</t>
        </is>
      </c>
      <c r="AJ26" s="47">
        <f>IF(OR(AB26="",D26="",D26=0),"",AB26/D26)</f>
        <v/>
      </c>
    </row>
    <row r="27" ht="15" customHeight="1" s="29">
      <c r="A27" s="44" t="inlineStr">
        <is>
          <t>2026-07-25</t>
        </is>
      </c>
      <c r="B27" s="45" t="n">
        <v>0.001036604</v>
      </c>
      <c r="C27" s="53">
        <f>IFERROR(B27/B26-1,"")</f>
        <v/>
      </c>
      <c r="D27" s="46" t="n">
        <v>3089525</v>
      </c>
      <c r="E27" s="47" t="n">
        <v>49.88</v>
      </c>
      <c r="F27" s="48" t="n">
        <v>6.109999999999999e-05</v>
      </c>
      <c r="G27" s="48" t="n">
        <v>5e-05</v>
      </c>
      <c r="H27" s="48" t="n">
        <v>0.00010433</v>
      </c>
      <c r="I27" s="49" t="n">
        <v>6</v>
      </c>
      <c r="L27" s="46" t="n">
        <v>8320418</v>
      </c>
      <c r="M27" s="54">
        <f>IFERROR(L27/MEDIAN(L13:L26),"")</f>
        <v/>
      </c>
      <c r="O27" s="51" t="n">
        <v>1.7082</v>
      </c>
      <c r="P27" s="51" t="n">
        <v>1.1608</v>
      </c>
      <c r="Q27" s="51" t="n">
        <v>1.58</v>
      </c>
      <c r="R27" s="52">
        <f>IFERROR(O27/P27,"")</f>
        <v/>
      </c>
      <c r="S27" s="52">
        <f>IFERROR(AVERAGE(R25:R27),"")</f>
        <v/>
      </c>
      <c r="T27" s="52">
        <f>IFERROR(Q27/Q22,"")</f>
        <v/>
      </c>
      <c r="U27" s="53">
        <f>IFERROR(O27/O24-1,"")</f>
        <v/>
      </c>
      <c r="V27" s="53">
        <f>IFERROR(P27/P24-1,"")</f>
        <v/>
      </c>
      <c r="AA27" s="50" t="inlineStr">
        <is>
          <t>gate</t>
        </is>
      </c>
      <c r="AJ27" s="47">
        <f>IF(OR(AB27="",D27="",D27=0),"",AB27/D27)</f>
        <v/>
      </c>
    </row>
    <row r="28" ht="15" customHeight="1" s="29">
      <c r="A28" s="44" t="inlineStr">
        <is>
          <t>2026-07-26</t>
        </is>
      </c>
      <c r="B28" s="45" t="n">
        <v>0.001110815</v>
      </c>
      <c r="C28" s="53">
        <f>IFERROR(B28/B27-1,"")</f>
        <v/>
      </c>
      <c r="D28" s="46" t="n">
        <v>2795377</v>
      </c>
      <c r="E28" s="47" t="n">
        <v>46.91</v>
      </c>
      <c r="F28" s="48" t="n">
        <v>0.00010028</v>
      </c>
      <c r="G28" s="48" t="n">
        <v>5e-05</v>
      </c>
      <c r="H28" s="48" t="n">
        <v>0.00033505</v>
      </c>
      <c r="I28" s="49" t="n">
        <v>6</v>
      </c>
      <c r="L28" s="46" t="n">
        <v>8768509</v>
      </c>
      <c r="M28" s="54">
        <f>IFERROR(L28/MEDIAN(L14:L27),"")</f>
        <v/>
      </c>
      <c r="O28" s="51" t="n">
        <v>1.7046</v>
      </c>
      <c r="P28" s="51" t="n">
        <v>1.2533</v>
      </c>
      <c r="Q28" s="51" t="n">
        <v>1.6774</v>
      </c>
      <c r="R28" s="52">
        <f>IFERROR(O28/P28,"")</f>
        <v/>
      </c>
      <c r="S28" s="52">
        <f>IFERROR(AVERAGE(R26:R28),"")</f>
        <v/>
      </c>
      <c r="T28" s="52">
        <f>IFERROR(Q28/Q23,"")</f>
        <v/>
      </c>
      <c r="U28" s="53">
        <f>IFERROR(O28/O25-1,"")</f>
        <v/>
      </c>
      <c r="V28" s="53">
        <f>IFERROR(P28/P25-1,"")</f>
        <v/>
      </c>
      <c r="AA28" s="50" t="inlineStr">
        <is>
          <t>gate</t>
        </is>
      </c>
      <c r="AJ28" s="47">
        <f>IF(OR(AB28="",D28="",D28=0),"",AB28/D28)</f>
        <v/>
      </c>
    </row>
    <row r="29" ht="15" customHeight="1" s="29">
      <c r="A29" s="44" t="inlineStr">
        <is>
          <t>2026-07-27</t>
        </is>
      </c>
      <c r="B29" s="45" t="n">
        <v>0.001126981</v>
      </c>
      <c r="C29" s="53">
        <f>IFERROR(B29/B28-1,"")</f>
        <v/>
      </c>
      <c r="D29" s="46" t="n">
        <v>26056287</v>
      </c>
      <c r="E29" s="47" t="n">
        <v>50.31</v>
      </c>
      <c r="F29" s="48" t="n">
        <v>0.000408</v>
      </c>
      <c r="G29" s="48" t="n">
        <v>5e-05</v>
      </c>
      <c r="H29" s="48" t="n">
        <v>0.000624</v>
      </c>
      <c r="I29" s="49" t="n">
        <v>6</v>
      </c>
      <c r="L29" s="46" t="n">
        <v>9131932</v>
      </c>
      <c r="M29" s="54">
        <f>IFERROR(L29/MEDIAN(L15:L28),"")</f>
        <v/>
      </c>
      <c r="O29" s="51" t="n">
        <v>1.3507</v>
      </c>
      <c r="P29" s="51" t="n">
        <v>1.2563</v>
      </c>
      <c r="Q29" s="51" t="n">
        <v>1.7071</v>
      </c>
      <c r="R29" s="52">
        <f>IFERROR(O29/P29,"")</f>
        <v/>
      </c>
      <c r="S29" s="52">
        <f>IFERROR(AVERAGE(R27:R29),"")</f>
        <v/>
      </c>
      <c r="T29" s="52">
        <f>IFERROR(Q29/Q24,"")</f>
        <v/>
      </c>
      <c r="U29" s="53">
        <f>IFERROR(O29/O26-1,"")</f>
        <v/>
      </c>
      <c r="V29" s="53">
        <f>IFERROR(P29/P26-1,"")</f>
        <v/>
      </c>
      <c r="AA29" s="50" t="inlineStr">
        <is>
          <t>gate</t>
        </is>
      </c>
      <c r="AJ29" s="47">
        <f>IF(OR(AB29="",D29="",D29=0),"",AB29/D29)</f>
        <v/>
      </c>
      <c r="AL29" s="50" t="inlineStr">
        <is>
          <t>2 vi -&gt;0x34828d 17M consolidate; rut Gate ~$26M/48h (26-28)</t>
        </is>
      </c>
      <c r="AN29" s="50" t="inlineStr">
        <is>
          <t>pos round-trip 1.74-&gt;1.35; hom sau hoi 1.59</t>
        </is>
      </c>
    </row>
    <row r="30" ht="15" customHeight="1" s="29">
      <c r="A30" s="44" t="inlineStr">
        <is>
          <t>2026-07-28</t>
        </is>
      </c>
      <c r="B30" s="45" t="n">
        <v>0.0013</v>
      </c>
      <c r="C30" s="53">
        <f>IFERROR(B30/B29-1,"")</f>
        <v/>
      </c>
      <c r="D30" s="46" t="n">
        <v>11878709</v>
      </c>
      <c r="E30" s="47" t="n">
        <v>49.9</v>
      </c>
      <c r="F30" s="48" t="n">
        <v>0.000179</v>
      </c>
      <c r="G30" s="48" t="n">
        <v>5.3e-05</v>
      </c>
      <c r="H30" s="48" t="n">
        <v>0.000314</v>
      </c>
      <c r="I30" s="49" t="n">
        <v>6</v>
      </c>
      <c r="L30" s="46" t="n">
        <v>12188951</v>
      </c>
      <c r="M30" s="54">
        <f>IFERROR(L30/MEDIAN(L16:L29),"")</f>
        <v/>
      </c>
      <c r="O30" s="51" t="n">
        <v>1.5947</v>
      </c>
      <c r="P30" s="51" t="n">
        <v>0.9988</v>
      </c>
      <c r="Q30" s="51" t="n">
        <v>1.2978</v>
      </c>
      <c r="R30" s="52">
        <f>IFERROR(O30/P30,"")</f>
        <v/>
      </c>
      <c r="S30" s="52">
        <f>IFERROR(AVERAGE(R28:R30),"")</f>
        <v/>
      </c>
      <c r="T30" s="52">
        <f>IFERROR(Q30/Q25,"")</f>
        <v/>
      </c>
      <c r="U30" s="53">
        <f>IFERROR(O30/O27-1,"")</f>
        <v/>
      </c>
      <c r="V30" s="53">
        <f>IFERROR(P30/P27-1,"")</f>
        <v/>
      </c>
      <c r="W30" s="50" t="inlineStr">
        <is>
          <t>stealth_grind (margin mong: OI +4% nguong, breakout 14.6% vs 9%)</t>
        </is>
      </c>
      <c r="AA30" s="50" t="inlineStr">
        <is>
          <t>gate</t>
        </is>
      </c>
      <c r="AB30" s="46" t="n">
        <v>33599</v>
      </c>
      <c r="AD30" s="46" t="n">
        <v>2574</v>
      </c>
      <c r="AE30" s="46" t="n">
        <v>1233</v>
      </c>
      <c r="AJ30" s="47">
        <f>IF(OR(AB30="",D30="",D30=0),"",AB30/D30)</f>
        <v/>
      </c>
    </row>
    <row r="31">
      <c r="A31" s="28" t="inlineStr">
        <is>
          <t>2026-07-29</t>
        </is>
      </c>
      <c r="B31" t="n">
        <v>0.001215</v>
      </c>
      <c r="C31" s="28">
        <f>IFERROR(B31/B30-1,"")</f>
        <v/>
      </c>
      <c r="F31" s="28" t="n">
        <v>0.00014019</v>
      </c>
      <c r="G31" s="28" t="n">
        <v>0.00014019</v>
      </c>
      <c r="H31" s="28" t="n">
        <v>0.00014019</v>
      </c>
      <c r="I31" s="28" t="n">
        <v>1</v>
      </c>
      <c r="J31" s="28" t="inlineStr"/>
      <c r="L31" s="28" t="n">
        <v>11172261</v>
      </c>
      <c r="M31" s="28">
        <f>IFERROR(L31/MEDIAN(L17:L30),"")</f>
        <v/>
      </c>
      <c r="N31" s="28" t="inlineStr">
        <is>
          <t>PEAK</t>
        </is>
      </c>
      <c r="O31" s="28" t="n">
        <v>1.6204</v>
      </c>
      <c r="P31" s="28" t="n">
        <v>1.3719</v>
      </c>
      <c r="Q31" s="28" t="n">
        <v>1.8129</v>
      </c>
      <c r="R31" s="28">
        <f>IFERROR(O31/P31,"")</f>
        <v/>
      </c>
      <c r="S31" s="28">
        <f>IFERROR(AVERAGE(R29:R31),"")</f>
        <v/>
      </c>
      <c r="T31" s="28">
        <f>IFERROR(Q31/Q26,"")</f>
        <v/>
      </c>
      <c r="U31" s="28">
        <f>IFERROR(O31/O28-1,"")</f>
        <v/>
      </c>
      <c r="V31" s="28">
        <f>IFERROR(P31/P28-1,"")</f>
        <v/>
      </c>
      <c r="Z31" s="28" t="inlineStr"/>
      <c r="AA31" s="28" t="inlineStr">
        <is>
          <t>gate</t>
        </is>
      </c>
      <c r="AJ31" s="28">
        <f>IF(OR(AB31="",D31="",D31=0),"",AB31/D31)</f>
        <v/>
      </c>
      <c r="AN31" s="28" t="inlineStr">
        <is>
          <t>gLSR 1.8129 fn=1 low_conf — single snapshot, suspect spike; acc_r 0.999-&gt;1.372 keo div_raw 1.597-&gt;1.181</t>
        </is>
      </c>
    </row>
    <row r="32" ht="15" customHeight="1" s="29">
      <c r="A32" s="36" t="inlineStr">
        <is>
          <t>Jul01-26 tu export; Jul27-28 tu Item0 healed (an pipeline da vá). Cot wall: bat dau snapshot tu 30/07.</t>
        </is>
      </c>
    </row>
  </sheetData>
  <mergeCells count="5">
    <mergeCell ref="AK1:AM1"/>
    <mergeCell ref="A1:Z1"/>
    <mergeCell ref="AN1:AO1"/>
    <mergeCell ref="A32:L32"/>
    <mergeCell ref="AA1:A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60" customWidth="1" style="28" min="2" max="2"/>
    <col width="18" customWidth="1" style="28" min="3" max="3"/>
    <col width="45" customWidth="1" style="28" min="4" max="4"/>
  </cols>
  <sheetData>
    <row r="1" ht="16.15" customHeight="1" s="29">
      <c r="A1" s="30" t="inlineStr">
        <is>
          <t>D. NHAT KY DIEN BIEN (append-only, moi nhat duoi cung)</t>
        </is>
      </c>
    </row>
    <row r="3" ht="15" customHeight="1" s="29">
      <c r="A3" s="55" t="inlineStr">
        <is>
          <t>ngay</t>
        </is>
      </c>
      <c r="B3" s="55" t="inlineStr">
        <is>
          <t>su_kien_so_lieu</t>
        </is>
      </c>
      <c r="C3" s="55" t="inlineStr">
        <is>
          <t>nguon</t>
        </is>
      </c>
      <c r="D3" s="55" t="inlineStr">
        <is>
          <t>doc_nhanh</t>
        </is>
      </c>
    </row>
    <row r="4" ht="15" customHeight="1" s="29">
      <c r="A4" s="33" t="inlineStr">
        <is>
          <t>07-08/09</t>
        </is>
      </c>
      <c r="B4" s="33" t="inlineStr">
        <is>
          <t>flash crash -25% + vol $449M; gLSR 2.1-&gt;0.62</t>
        </is>
      </c>
      <c r="C4" s="33" t="inlineStr">
        <is>
          <t>calib</t>
        </is>
      </c>
      <c r="D4" s="33" t="inlineStr">
        <is>
          <t>wash-by-crash</t>
        </is>
      </c>
    </row>
    <row r="5" ht="15" customHeight="1" s="29">
      <c r="A5" s="33" t="inlineStr">
        <is>
          <t>07-13/16</t>
        </is>
      </c>
      <c r="B5" s="33" t="inlineStr">
        <is>
          <t>7% supply -&gt; 5 vi moi, hold</t>
        </is>
      </c>
      <c r="C5" s="33" t="inlineStr">
        <is>
          <t>BscScan</t>
        </is>
      </c>
      <c r="D5" s="33" t="inlineStr">
        <is>
          <t>staging cluster</t>
        </is>
      </c>
    </row>
    <row r="6" ht="15" customHeight="1" s="29">
      <c r="A6" s="33" t="inlineStr">
        <is>
          <t>07-27</t>
        </is>
      </c>
      <c r="B6" s="33" t="inlineStr">
        <is>
          <t>2 manh chet (pos 1.74-&gt;1.35, gLSR 1.71) -&gt; ha ARMED-&gt;WATCH</t>
        </is>
      </c>
      <c r="C6" s="33" t="inlineStr">
        <is>
          <t>Prompt D + phan</t>
        </is>
      </c>
      <c r="D6" s="33" t="inlineStr">
        <is>
          <t>structure_decay, khong phai invalidation</t>
        </is>
      </c>
    </row>
    <row r="7" ht="15" customHeight="1" s="29">
      <c r="A7" s="33" t="inlineStr">
        <is>
          <t>07-26/28</t>
        </is>
      </c>
      <c r="B7" s="33" t="inlineStr">
        <is>
          <t>17M consolidate + ~$26M rut Gate (2 vi van tay doi)</t>
        </is>
      </c>
      <c r="C7" s="33" t="inlineStr">
        <is>
          <t>BscScan tay</t>
        </is>
      </c>
      <c r="D7" s="33" t="inlineStr">
        <is>
          <t>tai kich hoat an; nghi double-count txhash PENDING</t>
        </is>
      </c>
    </row>
    <row r="8" ht="15" customHeight="1" s="29">
      <c r="A8" s="33" t="inlineStr">
        <is>
          <t>07-28</t>
        </is>
      </c>
      <c r="B8" s="33" t="inlineStr">
        <is>
          <t>stealth_grind ban margin mong; gLSR 1.30; pos 1.595</t>
        </is>
      </c>
      <c r="C8" s="33" t="inlineStr">
        <is>
          <t>export+audit P1</t>
        </is>
      </c>
      <c r="D8" s="33" t="inlineStr">
        <is>
          <t>1 tell + wash dang chay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28" min="1" max="1"/>
    <col width="22" customWidth="1" style="28" min="2" max="2"/>
    <col width="44" customWidth="1" style="28" min="3" max="3"/>
    <col width="40" customWidth="1" style="28" min="4" max="4"/>
    <col width="22" customWidth="1" style="28" min="5" max="5"/>
  </cols>
  <sheetData>
    <row r="1" ht="16.15" customHeight="1" s="29">
      <c r="A1" s="30" t="inlineStr">
        <is>
          <t>C. CHOT THEO DOI — doc moi ngay sau nen dong</t>
        </is>
      </c>
    </row>
    <row r="3" ht="15" customHeight="1" s="29">
      <c r="A3" s="55" t="inlineStr">
        <is>
          <t>#</t>
        </is>
      </c>
      <c r="B3" s="55" t="inlineStr">
        <is>
          <t>chot</t>
        </is>
      </c>
      <c r="C3" s="55" t="inlineStr">
        <is>
          <t>dieu_kien</t>
        </is>
      </c>
      <c r="D3" s="55" t="inlineStr">
        <is>
          <t>nghia_khi_bat</t>
        </is>
      </c>
      <c r="E3" s="55" t="inlineStr">
        <is>
          <t>trang_thai_hom_nay</t>
        </is>
      </c>
    </row>
    <row r="4" ht="15" customHeight="1" s="29">
      <c r="A4" s="33" t="inlineStr">
        <is>
          <t>1</t>
        </is>
      </c>
      <c r="B4" s="33" t="inlineStr">
        <is>
          <t>Cau truc hoi</t>
        </is>
      </c>
      <c r="C4" s="33" t="inlineStr">
        <is>
          <t>div_avg3 &gt;=1.5 tren chuoi nen dong</t>
        </is>
      </c>
      <c r="D4" s="33" t="inlineStr">
        <is>
          <t>manh song #1 -&gt; ho so tai-ARM</t>
        </is>
      </c>
      <c r="E4" s="34" t="inlineStr">
        <is>
          <t>PENDING</t>
        </is>
      </c>
    </row>
    <row r="5" ht="15" customHeight="1" s="29">
      <c r="A5" s="33" t="inlineStr">
        <is>
          <t>2</t>
        </is>
      </c>
      <c r="B5" s="33" t="inlineStr">
        <is>
          <t>Nhien lieu</t>
        </is>
      </c>
      <c r="C5" s="33" t="inlineStr">
        <is>
          <t>gLSR &lt;=1.1</t>
        </is>
      </c>
      <c r="D5" s="33" t="inlineStr">
        <is>
          <t>crowd rua xong -&gt; manh song #2</t>
        </is>
      </c>
      <c r="E5" s="34" t="inlineStr">
        <is>
          <t>dang rua (1.30)</t>
        </is>
      </c>
    </row>
    <row r="6" ht="15" customHeight="1" s="29">
      <c r="A6" s="33" t="inlineStr">
        <is>
          <t>3</t>
        </is>
      </c>
      <c r="B6" s="33" t="inlineStr">
        <is>
          <t>On-chain</t>
        </is>
      </c>
      <c r="C6" s="33" t="inlineStr">
        <is>
          <t>tx moi tu cum 6 vi</t>
        </is>
      </c>
      <c r="D6" s="33" t="inlineStr">
        <is>
          <t>redeposit=INVALIDATE · rut them=accelerant</t>
        </is>
      </c>
      <c r="E6" s="34" t="inlineStr">
        <is>
          <t>hold nguyen</t>
        </is>
      </c>
    </row>
    <row r="7" ht="15" customHeight="1" s="29">
      <c r="A7" s="33" t="inlineStr">
        <is>
          <t>4</t>
        </is>
      </c>
      <c r="B7" s="33" t="inlineStr">
        <is>
          <t>OI</t>
        </is>
      </c>
      <c r="C7" s="33" t="inlineStr">
        <is>
          <t>giu &gt;=12M hay xep</t>
        </is>
      </c>
      <c r="D7" s="33" t="inlineStr">
        <is>
          <t>stealth that hay fake-out</t>
        </is>
      </c>
      <c r="E7" s="34" t="inlineStr">
        <is>
          <t>12.19M — canh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11" customWidth="1" style="28" min="2" max="2"/>
    <col width="12" customWidth="1" style="28" min="3" max="3"/>
    <col width="9" customWidth="1" style="28" min="4" max="4"/>
    <col width="16" customWidth="1" style="28" min="5" max="5"/>
    <col width="13" customWidth="1" style="28" min="6" max="6"/>
    <col width="9" customWidth="1" style="28" min="7" max="7"/>
    <col width="42" customWidth="1" style="28" min="8" max="9"/>
  </cols>
  <sheetData>
    <row r="1" ht="16.15" customHeight="1" s="29">
      <c r="A1" s="30" t="inlineStr">
        <is>
          <t>E. OUTCOME — dien tai moc; verdict_check: verdict luc mo DUNG/SAI o diem nao</t>
        </is>
      </c>
    </row>
    <row r="3" ht="15" customHeight="1" s="29">
      <c r="A3" s="55" t="inlineStr">
        <is>
          <t>moc</t>
        </is>
      </c>
      <c r="B3" s="55" t="inlineStr">
        <is>
          <t>ngay_han</t>
        </is>
      </c>
      <c r="C3" s="55" t="inlineStr">
        <is>
          <t>px</t>
        </is>
      </c>
      <c r="D3" s="55" t="inlineStr">
        <is>
          <t>ret_pct</t>
        </is>
      </c>
      <c r="E3" s="55" t="inlineStr">
        <is>
          <t>drawup_drawdown</t>
        </is>
      </c>
      <c r="F3" s="55" t="inlineStr">
        <is>
          <t>oi_usd</t>
        </is>
      </c>
      <c r="G3" s="55" t="inlineStr">
        <is>
          <t>gLSR</t>
        </is>
      </c>
      <c r="H3" s="55" t="inlineStr">
        <is>
          <t>dien_bien</t>
        </is>
      </c>
      <c r="I3" s="55" t="inlineStr">
        <is>
          <t>verdict_check</t>
        </is>
      </c>
    </row>
    <row r="4" ht="15" customHeight="1" s="29">
      <c r="A4" s="33" t="inlineStr">
        <is>
          <t>T+7</t>
        </is>
      </c>
      <c r="B4" s="33" t="inlineStr">
        <is>
          <t>2026-08-04</t>
        </is>
      </c>
      <c r="C4" s="34" t="n"/>
      <c r="D4" s="34" t="n"/>
      <c r="E4" s="34" t="n"/>
      <c r="F4" s="34" t="n"/>
      <c r="G4" s="34" t="n"/>
      <c r="H4" s="34" t="n"/>
      <c r="I4" s="34" t="n"/>
    </row>
    <row r="5" ht="15" customHeight="1" s="29">
      <c r="A5" s="33" t="inlineStr">
        <is>
          <t>T+14</t>
        </is>
      </c>
      <c r="B5" s="33" t="inlineStr">
        <is>
          <t>2026-08-11</t>
        </is>
      </c>
      <c r="C5" s="34" t="n"/>
      <c r="D5" s="34" t="n"/>
      <c r="E5" s="34" t="n"/>
      <c r="F5" s="34" t="n"/>
      <c r="G5" s="34" t="n"/>
      <c r="H5" s="34" t="n"/>
      <c r="I5" s="34" t="n"/>
    </row>
    <row r="6" ht="15" customHeight="1" s="29">
      <c r="A6" s="33" t="inlineStr">
        <is>
          <t>T+30</t>
        </is>
      </c>
      <c r="B6" s="33" t="inlineStr">
        <is>
          <t>2026-08-27</t>
        </is>
      </c>
      <c r="C6" s="34" t="n"/>
      <c r="D6" s="34" t="n"/>
      <c r="E6" s="34" t="n"/>
      <c r="F6" s="34" t="n"/>
      <c r="G6" s="34" t="n"/>
      <c r="H6" s="34" t="n"/>
      <c r="I6" s="34" t="n"/>
    </row>
    <row r="7" ht="15" customHeight="1" s="29">
      <c r="A7" s="33" t="inlineStr">
        <is>
          <t>T+60</t>
        </is>
      </c>
      <c r="B7" s="33" t="inlineStr">
        <is>
          <t>2026-09-26</t>
        </is>
      </c>
      <c r="C7" s="34" t="n"/>
      <c r="D7" s="34" t="n"/>
      <c r="E7" s="34" t="n"/>
      <c r="F7" s="34" t="n"/>
      <c r="G7" s="34" t="n"/>
      <c r="H7" s="34" t="n"/>
      <c r="I7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8" min="1" max="1"/>
    <col width="95" customWidth="1" style="28" min="2" max="2"/>
  </cols>
  <sheetData>
    <row r="1" ht="16.15" customHeight="1" s="29">
      <c r="A1" s="30" t="inlineStr">
        <is>
          <t>I. MM / OPERATOR PROFILE — van tay hanh vi (moi MM danh mot kieu)</t>
        </is>
      </c>
    </row>
    <row r="3" ht="15" customHeight="1" s="29">
      <c r="A3" s="32" t="inlineStr">
        <is>
          <t>MM cong bo / nghi van</t>
        </is>
      </c>
      <c r="B3" s="33" t="inlineStr">
        <is>
          <t>unknown</t>
        </is>
      </c>
    </row>
    <row r="4" ht="15" customHeight="1" s="29">
      <c r="A4" s="32" t="inlineStr">
        <is>
          <t>MM_ID</t>
        </is>
      </c>
      <c r="B4" s="33" t="inlineStr">
        <is>
          <t>unknown — chua du 3 van tay de gan (nghi ho bid-walk nhung ky thuat moi khac BANK)</t>
        </is>
      </c>
    </row>
    <row r="5" ht="15" customHeight="1" s="29">
      <c r="A5" s="32" t="inlineStr">
        <is>
          <t>Van tay funding</t>
        </is>
      </c>
      <c r="B5" s="33" t="inlineStr">
        <is>
          <t>pin xuyen bao (thang truoc) -&gt; tha noi tu 17/07</t>
        </is>
      </c>
    </row>
    <row r="6" ht="15" customHeight="1" s="29">
      <c r="A6" s="32" t="inlineStr">
        <is>
          <t>Van tay markup</t>
        </is>
      </c>
      <c r="B6" s="33" t="inlineStr">
        <is>
          <t>bid-walk (taker&lt;52% suot); leg nay se lo them</t>
        </is>
      </c>
    </row>
    <row r="7" ht="15" customHeight="1" s="29">
      <c r="A7" s="32" t="inlineStr">
        <is>
          <t>Ky thuat quan crowd</t>
        </is>
      </c>
      <c r="B7" s="33" t="inlineStr">
        <is>
          <t>wash-by-crash (08-09/07) + wash-by-rally (27-28/07)</t>
        </is>
      </c>
    </row>
    <row r="8" ht="15" customHeight="1" s="29">
      <c r="A8" s="32" t="inlineStr">
        <is>
          <t>Ky thuat moi on-chain</t>
        </is>
      </c>
      <c r="B8" s="33" t="inlineStr">
        <is>
          <t>staging that (5 vi hold) — KHAC bait; nhung inventory Gate co lich su Bitget (an cu 98.7%)</t>
        </is>
      </c>
    </row>
    <row r="9" ht="15" customHeight="1" s="29">
      <c r="A9" s="32" t="inlineStr">
        <is>
          <t>Venue</t>
        </is>
      </c>
      <c r="B9" s="33" t="inlineStr">
        <is>
          <t>Binance perp chinh; Gate = bai do inventory</t>
        </is>
      </c>
    </row>
    <row r="10" ht="15" customHeight="1" s="29">
      <c r="A10" s="32" t="inlineStr">
        <is>
          <t>Cross-campaign</t>
        </is>
      </c>
      <c r="B10" s="34" t="inlineStr">
        <is>
          <t>PENDING — so dia chi cum 6 vao watcher</t>
        </is>
      </c>
    </row>
    <row r="11" ht="15" customHeight="1" s="29">
      <c r="A11" s="32" t="inlineStr">
        <is>
          <t>Ung xu voi minh</t>
        </is>
      </c>
      <c r="B11" s="34" t="inlineStr">
        <is>
          <t>PENDING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8" min="1" max="1"/>
    <col width="95" customWidth="1" style="28" min="2" max="2"/>
  </cols>
  <sheetData>
    <row r="1" ht="16.15" customHeight="1" s="29">
      <c r="A1" s="30" t="inlineStr">
        <is>
          <t>J. TOKENOMICS / UNLOCK — dong cung co lich, MM danh quanh no</t>
        </is>
      </c>
    </row>
    <row r="3" ht="15" customHeight="1" s="29">
      <c r="A3" s="32" t="inlineStr">
        <is>
          <t>Circulating / Total</t>
        </is>
      </c>
      <c r="B3" s="34" t="inlineStr">
        <is>
          <t>PENDING — can supply de tinh % cua 22.77B rut ra (no cu)</t>
        </is>
      </c>
    </row>
    <row r="4" ht="15" customHeight="1" s="29">
      <c r="A4" s="32" t="inlineStr">
        <is>
          <t>Nguon tra</t>
        </is>
      </c>
      <c r="B4" s="34" t="inlineStr">
        <is>
          <t>PENDING</t>
        </is>
      </c>
    </row>
    <row r="5" ht="15" customHeight="1" s="29">
      <c r="A5" s="32" t="inlineStr">
        <is>
          <t>Unlock KE TIEP</t>
        </is>
      </c>
      <c r="B5" s="34" t="inlineStr">
        <is>
          <t>PENDING</t>
        </is>
      </c>
    </row>
    <row r="6" ht="15" customHeight="1" s="29">
      <c r="A6" s="32" t="inlineStr">
        <is>
          <t>Unlock 90 ngay toi</t>
        </is>
      </c>
      <c r="B6" s="34" t="inlineStr">
        <is>
          <t>PENDING</t>
        </is>
      </c>
    </row>
    <row r="7" ht="15" customHeight="1" s="29">
      <c r="A7" s="32" t="inlineStr">
        <is>
          <t>Cliff da qua</t>
        </is>
      </c>
      <c r="B7" s="34" t="inlineStr">
        <is>
          <t>PENDING</t>
        </is>
      </c>
    </row>
    <row r="8" ht="15" customHeight="1" s="29">
      <c r="A8" s="32" t="inlineStr">
        <is>
          <t>Doc</t>
        </is>
      </c>
      <c r="B8" s="33" t="inlineStr">
        <is>
          <t>neu co unlock lon 30-60d -&gt; kich ban keo-truoc-unlock vao bang B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2026-07-29T03:24:04Z</dcterms:created>
  <dcterms:modified xsi:type="dcterms:W3CDTF">2026-07-29T08:30:44Z</dcterms:modified>
  <cp:revision>0</cp:revision>
</cp:coreProperties>
</file>