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720" tabRatio="500" firstSheet="0" activeTab="1" autoFilterDateGrouping="1"/>
  </bookViews>
  <sheets>
    <sheet name="CASE" sheetId="1" state="visible" r:id="rId1"/>
    <sheet name="DAILY" sheetId="2" state="visible" r:id="rId2"/>
    <sheet name="EVENTS" sheetId="3" state="visible" r:id="rId3"/>
    <sheet name="TRIGGERS" sheetId="4" state="visible" r:id="rId4"/>
    <sheet name="OUTCOME" sheetId="5" state="visible" r:id="rId5"/>
    <sheet name="MM_PROFILE" sheetId="6" state="visible" r:id="rId6"/>
    <sheet name="UNLOCK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7">
    <numFmt numFmtId="164" formatCode="yyyy\-mm\-dd"/>
    <numFmt numFmtId="165" formatCode="0.00000000"/>
    <numFmt numFmtId="166" formatCode="0.0"/>
    <numFmt numFmtId="167" formatCode="0.000000"/>
    <numFmt numFmtId="168" formatCode="0.0000"/>
    <numFmt numFmtId="169" formatCode="0.000"/>
    <numFmt numFmtId="170" formatCode="0.0%"/>
  </numFmts>
  <fonts count="7">
    <font>
      <name val="Calibri"/>
      <charset val="1"/>
      <family val="2"/>
      <color theme="1"/>
      <sz val="11"/>
    </font>
    <font>
      <name val="Arial"/>
      <charset val="1"/>
      <b val="1"/>
      <sz val="13"/>
    </font>
    <font>
      <name val="Arial"/>
      <charset val="1"/>
      <sz val="9"/>
    </font>
    <font>
      <name val="Arial"/>
      <charset val="1"/>
      <b val="1"/>
      <sz val="10"/>
    </font>
    <font>
      <name val="Arial"/>
      <charset val="1"/>
      <sz val="10"/>
    </font>
    <font>
      <name val="Arial"/>
      <charset val="1"/>
      <b val="1"/>
      <color rgb="FFFFFFFF"/>
      <sz val="9"/>
    </font>
    <font>
      <name val="Arial"/>
      <charset val="1"/>
      <b val="1"/>
      <color rgb="FFFFFFFF"/>
      <sz val="10"/>
    </font>
  </fonts>
  <fills count="10">
    <fill>
      <patternFill/>
    </fill>
    <fill>
      <patternFill patternType="gray125"/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1F4E79"/>
        <bgColor rgb="FF003366"/>
      </patternFill>
    </fill>
    <fill>
      <patternFill patternType="solid">
        <fgColor rgb="FF375623"/>
        <bgColor rgb="FF404040"/>
      </patternFill>
    </fill>
    <fill>
      <patternFill patternType="solid">
        <fgColor rgb="FF7B3F00"/>
        <bgColor rgb="FF806000"/>
      </patternFill>
    </fill>
    <fill>
      <patternFill patternType="solid">
        <fgColor rgb="FF806000"/>
        <bgColor rgb="FF7B3F00"/>
      </patternFill>
    </fill>
    <fill>
      <patternFill patternType="solid">
        <fgColor rgb="FFBF8F00"/>
        <bgColor rgb="FFFF6600"/>
      </patternFill>
    </fill>
    <fill>
      <patternFill patternType="solid">
        <fgColor rgb="FF404040"/>
        <bgColor rgb="FF375623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vertical="top" wrapText="1"/>
    </xf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5" fillId="4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164" fontId="4" fillId="0" borderId="1" pivotButton="0" quotePrefix="0" xfId="0"/>
    <xf numFmtId="165" fontId="4" fillId="0" borderId="1" pivotButton="0" quotePrefix="0" xfId="0"/>
    <xf numFmtId="3" fontId="4" fillId="0" borderId="1" pivotButton="0" quotePrefix="0" xfId="0"/>
    <xf numFmtId="166" fontId="4" fillId="0" borderId="1" pivotButton="0" quotePrefix="0" xfId="0"/>
    <xf numFmtId="167" fontId="4" fillId="0" borderId="1" pivotButton="0" quotePrefix="0" xfId="0"/>
    <xf numFmtId="1" fontId="4" fillId="0" borderId="1" pivotButton="0" quotePrefix="0" xfId="0"/>
    <xf numFmtId="49" fontId="4" fillId="0" borderId="1" pivotButton="0" quotePrefix="0" xfId="0"/>
    <xf numFmtId="168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2" fontId="4" fillId="0" borderId="1" pivotButton="0" quotePrefix="0" xfId="0"/>
    <xf numFmtId="0" fontId="6" fillId="9" borderId="1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0" fillId="0" borderId="0" pivotButton="0" quotePrefix="0" xfId="0"/>
    <xf numFmtId="0" fontId="5" fillId="5" borderId="0" applyAlignment="1" pivotButton="0" quotePrefix="0" xfId="0">
      <alignment horizontal="center" vertical="center"/>
    </xf>
    <xf numFmtId="0" fontId="5" fillId="6" borderId="0" applyAlignment="1" pivotButton="0" quotePrefix="0" xfId="0">
      <alignment horizontal="center" vertical="center"/>
    </xf>
    <xf numFmtId="0" fontId="5" fillId="7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6000"/>
      <rgbColor rgb="FF800080"/>
      <rgbColor rgb="FF008080"/>
      <rgbColor rgb="FFBFBFBF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003366"/>
      <rgbColor rgb="FF339966"/>
      <rgbColor rgb="FF003300"/>
      <rgbColor rgb="FF375623"/>
      <rgbColor rgb="FF7B3F00"/>
      <rgbColor rgb="FF993366"/>
      <rgbColor rgb="FF1F4E79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omments/comment1.xml><?xml version="1.0" encoding="utf-8"?>
<comments xmlns="http://schemas.openxmlformats.org/spreadsheetml/2006/main">
  <authors>
    <author>whale-data-operator</author>
    <author>agent</author>
  </authors>
  <commentList>
    <comment ref="M2" authorId="0" shapeId="0">
      <text>
        <t>oi_vs_med14 Excel != dinh nghia fire
Window ending khac signals.py
(signals.py: window ket thuc ngay-truoc-check; Excel: window khac, chi nhin nhanh)</t>
      </text>
    </comment>
    <comment ref="I30" authorId="1" shapeId="0">
      <text>
        <t>fn=1: only 1 funding snapshot for Jul28 (native_1d low_conf)</t>
      </text>
    </comment>
    <comment ref="Q30" authorId="1" shapeId="0">
      <text>
        <t>fn=1 low_conf: single 1d snapshot (native_1d). Ratio unreliable, use Zone-A aggregate.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5"/>
  <sheetViews>
    <sheetView zoomScaleNormal="100" workbookViewId="0">
      <selection activeCell="B26" sqref="B26"/>
    </sheetView>
  </sheetViews>
  <sheetFormatPr baseColWidth="8" defaultColWidth="8.6640625" defaultRowHeight="14.4"/>
  <cols>
    <col width="26" customWidth="1" style="24" min="1" max="1"/>
    <col width="100" customWidth="1" style="24" min="2" max="2"/>
  </cols>
  <sheetData>
    <row r="1" ht="16.2" customHeight="1" s="24">
      <c r="A1" s="1" t="inlineStr">
        <is>
          <t>CASE FILE — TAG</t>
        </is>
      </c>
    </row>
    <row r="2" ht="15" customHeight="1" s="24">
      <c r="A2" t="inlineStr">
        <is>
          <t>LEGEND</t>
        </is>
      </c>
      <c r="B2" t="inlineStr">
        <is>
          <t>oi_vs_med14 Excel != dinh nghia fire — window ending khac signals.py (signals.py dung window ket thuc ngay-truoc-check; DAILY dung window khac, chi nhin nhanh)</t>
        </is>
      </c>
    </row>
    <row r="3">
      <c r="A3" s="2" t="inlineStr">
        <is>
          <t>Nguon: case_tracker v1.1 · verdict chi operator ghi · so kem nguon · PENDING khong doan</t>
        </is>
      </c>
    </row>
    <row r="4" ht="15" customHeight="1" s="24"/>
    <row r="5" ht="15" customHeight="1" s="24">
      <c r="A5" s="3" t="inlineStr">
        <is>
          <t>Status</t>
        </is>
      </c>
      <c r="B5" s="4" t="inlineStr">
        <is>
          <t>OPEN — WATCH-nong</t>
        </is>
      </c>
    </row>
    <row r="6" ht="15" customHeight="1" s="24">
      <c r="A6" s="3" t="inlineStr">
        <is>
          <t>Loai</t>
        </is>
      </c>
      <c r="B6" s="4" t="inlineStr">
        <is>
          <t>pump-setup vong 2 (sau ARMED#1 cu)</t>
        </is>
      </c>
    </row>
    <row r="7" ht="15" customHeight="1" s="24">
      <c r="A7" s="3" t="inlineStr">
        <is>
          <t>Ngay phat hien</t>
        </is>
      </c>
      <c r="B7" s="4" t="inlineStr">
        <is>
          <t>27-28/07: 2 vi consolidate 17M -&gt; 0x34828d + 3 vi rut ~$26M khoi Gate/48h</t>
        </is>
      </c>
    </row>
    <row r="8" ht="15" customHeight="1" s="24">
      <c r="A8" s="3" t="inlineStr">
        <is>
          <t>T0</t>
        </is>
      </c>
      <c r="B8" s="4" t="inlineStr">
        <is>
          <t>chua xac dinh (ung vien 07-27/28 neu stealth giu) · px 28/07 ~0.00139</t>
        </is>
      </c>
    </row>
    <row r="9" ht="15" customHeight="1" s="24">
      <c r="A9" s="3" t="inlineStr">
        <is>
          <t>action_class</t>
        </is>
      </c>
      <c r="B9" s="5" t="inlineStr">
        <is>
          <t>WATCH — CHUA tai-ARM (thieu manh cau truc); KHONG duoi gia +40% (bai TUT/BULLA)</t>
        </is>
      </c>
    </row>
    <row r="10" ht="15" customHeight="1" s="24">
      <c r="A10" s="3" t="inlineStr">
        <is>
          <t>Vi the</t>
        </is>
      </c>
      <c r="B10" s="4" t="inlineStr">
        <is>
          <t>none</t>
        </is>
      </c>
    </row>
    <row r="11" ht="15" customHeight="1" s="24">
      <c r="A11" s="3" t="inlineStr">
        <is>
          <t>Tom tat input</t>
        </is>
      </c>
      <c r="B11" s="4" t="inlineStr">
        <is>
          <t>Gate probe: V thang 7 ~$15.6M &lt; $26M -&gt; KHONG THE gom tren Gate, inventory co san · book $2.5k/$1.2k = bai do · 0 cum BotAccum · nen 28/07: stealth_grind ban (margin mong), gLSR 1.71-&gt;1.30 wash-by-rally, pos hoi 1.595, div bung ~1.6 (avg3 1.34 chua dat)</t>
        </is>
      </c>
    </row>
    <row r="12" ht="15" customHeight="1" s="24">
      <c r="A12" s="3" t="inlineStr">
        <is>
          <t>Verdict (operator)</t>
        </is>
      </c>
      <c r="B12" s="5" t="inlineStr">
        <is>
          <t>campaign nhieu kha nang tai khoi dong; 1 tell + accelerant, thieu 2 manh cau truc -&gt; chua ARMED</t>
        </is>
      </c>
    </row>
    <row r="13">
      <c r="A13" s="3" t="inlineStr">
        <is>
          <t>Dieu gi chung minh SAI</t>
        </is>
      </c>
      <c r="B13" s="5" t="inlineStr">
        <is>
          <t>redeposit tu bat ky vi nao cum 6 · gia &lt;0.00072 · gLSR quay len &gt;1.5 kem gia dung</t>
        </is>
      </c>
    </row>
    <row r="14" ht="39.75" customHeight="1" s="24"/>
    <row r="15" ht="22.8" customHeight="1" s="24">
      <c r="A15" s="6" t="inlineStr">
        <is>
          <t>LEGEND</t>
        </is>
      </c>
      <c r="B15" s="7" t="inlineStr">
        <is>
          <t xml:space="preserve">O vang = operator dien/quyet · Header nau vang (sheet DAILY) = cot manual · Dong to cam (DAILY) = data_bad=1, so mang sai so · Cot cong thuc (ret_1d, div, slope, oi_vs_med14, alpha) tu tinh khi may append dong moi — copy cong thuc dong tren xuong. 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37"/>
  <sheetViews>
    <sheetView tabSelected="1" zoomScaleNormal="100" workbookViewId="0">
      <pane xSplit="2" ySplit="2" topLeftCell="V3" activePane="bottomRight" state="frozen"/>
      <selection pane="topRight" activeCell="C1" sqref="C1"/>
      <selection pane="bottomLeft" activeCell="A3" sqref="A3"/>
      <selection pane="bottomRight" activeCell="AJ9" sqref="AJ9"/>
    </sheetView>
  </sheetViews>
  <sheetFormatPr baseColWidth="8" defaultColWidth="8.6640625" defaultRowHeight="14.4"/>
  <cols>
    <col width="10" customWidth="1" style="24" min="1" max="1"/>
    <col width="11" customWidth="1" style="24" min="2" max="2"/>
    <col width="8" customWidth="1" style="24" min="3" max="3"/>
    <col width="13" customWidth="1" style="24" min="4" max="4"/>
    <col width="9" customWidth="1" style="24" min="5" max="5"/>
    <col width="10" customWidth="1" style="24" min="6" max="8"/>
    <col width="5" customWidth="1" style="24" min="9" max="9"/>
    <col width="12" customWidth="1" style="24" min="10" max="10"/>
    <col width="7" customWidth="1" style="24" min="11" max="11"/>
    <col width="13" customWidth="1" style="24" min="12" max="12"/>
    <col width="9" customWidth="1" style="24" min="13" max="17"/>
    <col width="8" customWidth="1" style="24" min="18" max="19"/>
    <col width="9" customWidth="1" style="24" min="20" max="20"/>
    <col width="8" customWidth="1" style="24" min="21" max="22"/>
    <col width="22" customWidth="1" style="24" min="23" max="23"/>
    <col width="16" customWidth="1" style="24" min="24" max="24"/>
    <col width="8" customWidth="1" style="24" min="25" max="25"/>
    <col width="7" customWidth="1" style="24" min="26" max="26"/>
    <col width="9" customWidth="1" style="24" min="27" max="27"/>
    <col width="12" customWidth="1" style="24" min="28" max="28"/>
    <col width="9" customWidth="1" style="24" min="29" max="29"/>
    <col width="11" customWidth="1" style="24" min="30" max="35"/>
    <col width="12.77734375" bestFit="1" customWidth="1" style="24" min="36" max="36"/>
    <col width="14" customWidth="1" style="24" min="37" max="37"/>
    <col width="18" customWidth="1" style="24" min="38" max="38"/>
    <col width="9" customWidth="1" style="24" min="39" max="39"/>
    <col width="30" customWidth="1" style="24" min="40" max="40"/>
    <col width="22" customWidth="1" style="24" min="41" max="41"/>
  </cols>
  <sheetData>
    <row r="1" ht="15.75" customHeight="1" s="24">
      <c r="A1" s="23" t="inlineStr">
        <is>
          <t>PERP (may)</t>
        </is>
      </c>
      <c r="AA1" s="25" t="inlineStr">
        <is>
          <t>SPOT/ALPHA (may)</t>
        </is>
      </c>
      <c r="AK1" s="26" t="inlineStr">
        <is>
          <t>ON-CHAIN (ban tu dong)</t>
        </is>
      </c>
      <c r="AN1" s="27" t="inlineStr">
        <is>
          <t>MANUAL (operator)</t>
        </is>
      </c>
    </row>
    <row r="2" ht="15" customHeight="1" s="24">
      <c r="A2" s="8" t="inlineStr">
        <is>
          <t>date</t>
        </is>
      </c>
      <c r="B2" s="8" t="inlineStr">
        <is>
          <t>px_avg</t>
        </is>
      </c>
      <c r="C2" s="8" t="inlineStr">
        <is>
          <t>ret_1d</t>
        </is>
      </c>
      <c r="D2" s="8" t="inlineStr">
        <is>
          <t>vol_perp_usd</t>
        </is>
      </c>
      <c r="E2" s="8" t="inlineStr">
        <is>
          <t>taker_buy_pct</t>
        </is>
      </c>
      <c r="F2" s="8" t="inlineStr">
        <is>
          <t>f_avg</t>
        </is>
      </c>
      <c r="G2" s="8" t="inlineStr">
        <is>
          <t>f_min</t>
        </is>
      </c>
      <c r="H2" s="8" t="inlineStr">
        <is>
          <t>f_max</t>
        </is>
      </c>
      <c r="I2" s="8" t="inlineStr">
        <is>
          <t>f_n</t>
        </is>
      </c>
      <c r="J2" s="8" t="inlineStr">
        <is>
          <t>funding_regime</t>
        </is>
      </c>
      <c r="K2" s="8" t="inlineStr">
        <is>
          <t>pin_streak</t>
        </is>
      </c>
      <c r="L2" s="8" t="inlineStr">
        <is>
          <t>oi_usd</t>
        </is>
      </c>
      <c r="M2" s="8" t="inlineStr">
        <is>
          <t>oi_vs_med14</t>
        </is>
      </c>
      <c r="N2" s="8" t="inlineStr">
        <is>
          <t>oi_cycle_pos</t>
        </is>
      </c>
      <c r="O2" s="8" t="inlineStr">
        <is>
          <t>lsr_pos_r</t>
        </is>
      </c>
      <c r="P2" s="8" t="inlineStr">
        <is>
          <t>lsr_acc_r</t>
        </is>
      </c>
      <c r="Q2" s="8" t="inlineStr">
        <is>
          <t>lsr_global_r</t>
        </is>
      </c>
      <c r="R2" s="8" t="inlineStr">
        <is>
          <t>div_raw</t>
        </is>
      </c>
      <c r="S2" s="8" t="inlineStr">
        <is>
          <t>div_avg3</t>
        </is>
      </c>
      <c r="T2" s="8" t="inlineStr">
        <is>
          <t>glsr_slope_5d</t>
        </is>
      </c>
      <c r="U2" s="8" t="inlineStr">
        <is>
          <t>d_pos_3d</t>
        </is>
      </c>
      <c r="V2" s="8" t="inlineStr">
        <is>
          <t>d_acc_3d</t>
        </is>
      </c>
      <c r="W2" s="8" t="inlineStr">
        <is>
          <t>signals_bullish</t>
        </is>
      </c>
      <c r="X2" s="8" t="inlineStr">
        <is>
          <t>signals_suppress</t>
        </is>
      </c>
      <c r="Y2" s="8" t="inlineStr">
        <is>
          <t>screen_rank</t>
        </is>
      </c>
      <c r="Z2" s="8" t="inlineStr">
        <is>
          <t>data_bad</t>
        </is>
      </c>
      <c r="AA2" s="9" t="inlineStr">
        <is>
          <t>spot_venue</t>
        </is>
      </c>
      <c r="AB2" s="9" t="inlineStr">
        <is>
          <t>vol_spot_usd</t>
        </is>
      </c>
      <c r="AC2" s="9" t="inlineStr">
        <is>
          <t>taker_spot_pct</t>
        </is>
      </c>
      <c r="AD2" s="9" t="inlineStr">
        <is>
          <t>depth_bid2_usd</t>
        </is>
      </c>
      <c r="AE2" s="9" t="inlineStr">
        <is>
          <t>depth_ask2_usd</t>
        </is>
      </c>
      <c r="AF2" s="9" t="inlineStr">
        <is>
          <t>bid_wall_px</t>
        </is>
      </c>
      <c r="AG2" s="9" t="inlineStr">
        <is>
          <t>bid_wall_usd</t>
        </is>
      </c>
      <c r="AH2" s="9" t="inlineStr">
        <is>
          <t>ask_wall_px</t>
        </is>
      </c>
      <c r="AI2" s="9" t="inlineStr">
        <is>
          <t>ask_wall_usd</t>
        </is>
      </c>
      <c r="AJ2" s="9" t="inlineStr">
        <is>
          <t>alpha_suspect</t>
        </is>
      </c>
      <c r="AK2" s="10" t="inlineStr">
        <is>
          <t>exch_balance_delta</t>
        </is>
      </c>
      <c r="AL2" s="10" t="inlineStr">
        <is>
          <t>wallet_activity</t>
        </is>
      </c>
      <c r="AM2" s="10" t="inlineStr">
        <is>
          <t>dominance_pct</t>
        </is>
      </c>
      <c r="AN2" s="10" t="inlineStr">
        <is>
          <t>note_operator</t>
        </is>
      </c>
      <c r="AO2" s="10" t="inlineStr">
        <is>
          <t>mm_note</t>
        </is>
      </c>
    </row>
    <row r="3" ht="15" customHeight="1" s="24">
      <c r="A3" s="11" t="inlineStr">
        <is>
          <t>2026-07-01</t>
        </is>
      </c>
      <c r="B3" s="12" t="n">
        <v>0.00096641</v>
      </c>
      <c r="D3" s="13" t="n">
        <v>1802364</v>
      </c>
      <c r="E3" s="14" t="n">
        <v>45.87</v>
      </c>
      <c r="F3" s="15" t="n">
        <v>5e-05</v>
      </c>
      <c r="G3" s="15" t="n">
        <v>5e-05</v>
      </c>
      <c r="H3" s="15" t="n">
        <v>5e-05</v>
      </c>
      <c r="I3" s="16" t="n">
        <v>6</v>
      </c>
      <c r="J3" s="17" t="inlineStr">
        <is>
          <t>PINNED</t>
        </is>
      </c>
      <c r="L3" s="13" t="n">
        <v>7270937</v>
      </c>
      <c r="O3" s="18" t="n">
        <v>1.4457</v>
      </c>
      <c r="P3" s="18" t="n">
        <v>1.6674</v>
      </c>
      <c r="Q3" s="18" t="n">
        <v>1.8193</v>
      </c>
      <c r="R3" s="19">
        <f>IFERROR(O3/P3,"")</f>
        <v/>
      </c>
      <c r="AA3" s="17" t="inlineStr">
        <is>
          <t>gate</t>
        </is>
      </c>
      <c r="AB3" t="n">
        <v>20758.97</v>
      </c>
      <c r="AC3" t="inlineStr">
        <is>
          <t>ABSTAIN</t>
        </is>
      </c>
      <c r="AJ3" s="14">
        <f>IF(OR(AB3="",D3="",D3=0),"",AB3/D3)</f>
        <v/>
      </c>
    </row>
    <row r="4" ht="15" customHeight="1" s="24">
      <c r="A4" s="11" t="inlineStr">
        <is>
          <t>2026-07-02</t>
        </is>
      </c>
      <c r="B4" s="12" t="n">
        <v>0.000975452</v>
      </c>
      <c r="C4" s="20">
        <f>IFERROR(B4/B3-1,"")</f>
        <v/>
      </c>
      <c r="D4" s="13" t="n">
        <v>2504122</v>
      </c>
      <c r="E4" s="14" t="n">
        <v>45.71</v>
      </c>
      <c r="F4" s="15" t="n">
        <v>5e-05</v>
      </c>
      <c r="G4" s="15" t="n">
        <v>5e-05</v>
      </c>
      <c r="H4" s="15" t="n">
        <v>5e-05</v>
      </c>
      <c r="I4" s="16" t="n">
        <v>6</v>
      </c>
      <c r="J4" s="17" t="inlineStr">
        <is>
          <t>PINNED</t>
        </is>
      </c>
      <c r="L4" s="13" t="n">
        <v>6974247</v>
      </c>
      <c r="O4" s="18" t="n">
        <v>1.5688</v>
      </c>
      <c r="P4" s="18" t="n">
        <v>1.7122</v>
      </c>
      <c r="Q4" s="18" t="n">
        <v>1.9343</v>
      </c>
      <c r="R4" s="19">
        <f>IFERROR(O4/P4,"")</f>
        <v/>
      </c>
      <c r="AA4" s="17" t="inlineStr">
        <is>
          <t>gate</t>
        </is>
      </c>
      <c r="AB4" t="n">
        <v>19400.83</v>
      </c>
      <c r="AC4" t="inlineStr">
        <is>
          <t>ABSTAIN</t>
        </is>
      </c>
      <c r="AJ4" s="14">
        <f>IF(OR(AB4="",D4="",D4=0),"",AB4/D4)</f>
        <v/>
      </c>
    </row>
    <row r="5" ht="15" customHeight="1" s="24">
      <c r="A5" s="11" t="inlineStr">
        <is>
          <t>2026-07-03</t>
        </is>
      </c>
      <c r="B5" s="12" t="n">
        <v>0.000949799</v>
      </c>
      <c r="C5" s="20">
        <f>IFERROR(B5/B4-1,"")</f>
        <v/>
      </c>
      <c r="D5" s="13" t="n">
        <v>1268001</v>
      </c>
      <c r="E5" s="14" t="n">
        <v>50.47</v>
      </c>
      <c r="F5" s="15" t="n">
        <v>5e-05</v>
      </c>
      <c r="G5" s="15" t="n">
        <v>5e-05</v>
      </c>
      <c r="H5" s="15" t="n">
        <v>5e-05</v>
      </c>
      <c r="I5" s="16" t="n">
        <v>6</v>
      </c>
      <c r="J5" s="17" t="inlineStr">
        <is>
          <t>PINNED</t>
        </is>
      </c>
      <c r="L5" s="13" t="n">
        <v>6992084</v>
      </c>
      <c r="O5" s="18" t="n">
        <v>1.547</v>
      </c>
      <c r="P5" s="18" t="n">
        <v>1.7495</v>
      </c>
      <c r="Q5" s="18" t="n">
        <v>2.0562</v>
      </c>
      <c r="R5" s="19">
        <f>IFERROR(O5/P5,"")</f>
        <v/>
      </c>
      <c r="S5" s="19">
        <f>IFERROR(AVERAGE(R3:R5),"")</f>
        <v/>
      </c>
      <c r="AA5" s="17" t="inlineStr">
        <is>
          <t>gate</t>
        </is>
      </c>
      <c r="AB5" t="n">
        <v>4007.28</v>
      </c>
      <c r="AC5" t="inlineStr">
        <is>
          <t>ABSTAIN</t>
        </is>
      </c>
      <c r="AJ5" s="14">
        <f>IF(OR(AB5="",D5="",D5=0),"",AB5/D5)</f>
        <v/>
      </c>
    </row>
    <row r="6" ht="15" customHeight="1" s="24">
      <c r="A6" s="11" t="inlineStr">
        <is>
          <t>2026-07-04</t>
        </is>
      </c>
      <c r="B6" s="12" t="n">
        <v>0.000920975</v>
      </c>
      <c r="C6" s="20">
        <f>IFERROR(B6/B5-1,"")</f>
        <v/>
      </c>
      <c r="D6" s="13" t="n">
        <v>3082838</v>
      </c>
      <c r="E6" s="14" t="n">
        <v>45.64</v>
      </c>
      <c r="F6" s="15" t="n">
        <v>5e-05</v>
      </c>
      <c r="G6" s="15" t="n">
        <v>5e-05</v>
      </c>
      <c r="H6" s="15" t="n">
        <v>5e-05</v>
      </c>
      <c r="I6" s="16" t="n">
        <v>6</v>
      </c>
      <c r="J6" s="17" t="inlineStr">
        <is>
          <t>PINNED</t>
        </is>
      </c>
      <c r="L6" s="13" t="n">
        <v>7127205</v>
      </c>
      <c r="O6" s="18" t="n">
        <v>1.5514</v>
      </c>
      <c r="P6" s="18" t="n">
        <v>1.745</v>
      </c>
      <c r="Q6" s="18" t="n">
        <v>2.0349</v>
      </c>
      <c r="R6" s="19">
        <f>IFERROR(O6/P6,"")</f>
        <v/>
      </c>
      <c r="S6" s="19">
        <f>IFERROR(AVERAGE(R4:R6),"")</f>
        <v/>
      </c>
      <c r="U6" s="20">
        <f>IFERROR(O6/O3-1,"")</f>
        <v/>
      </c>
      <c r="V6" s="20">
        <f>IFERROR(P6/P3-1,"")</f>
        <v/>
      </c>
      <c r="AA6" s="17" t="inlineStr">
        <is>
          <t>gate</t>
        </is>
      </c>
      <c r="AB6" t="n">
        <v>20812.13</v>
      </c>
      <c r="AC6" t="inlineStr">
        <is>
          <t>ABSTAIN</t>
        </is>
      </c>
      <c r="AJ6" s="14">
        <f>IF(OR(AB6="",D6="",D6=0),"",AB6/D6)</f>
        <v/>
      </c>
    </row>
    <row r="7" ht="15" customHeight="1" s="24">
      <c r="A7" s="11" t="inlineStr">
        <is>
          <t>2026-07-05</t>
        </is>
      </c>
      <c r="B7" s="12" t="n">
        <v>0.00090706</v>
      </c>
      <c r="C7" s="20">
        <f>IFERROR(B7/B6-1,"")</f>
        <v/>
      </c>
      <c r="D7" s="13" t="n">
        <v>1601806</v>
      </c>
      <c r="E7" s="14" t="n">
        <v>49.24</v>
      </c>
      <c r="F7" s="15" t="n">
        <v>5e-05</v>
      </c>
      <c r="G7" s="15" t="n">
        <v>5e-05</v>
      </c>
      <c r="H7" s="15" t="n">
        <v>5e-05</v>
      </c>
      <c r="I7" s="16" t="n">
        <v>6</v>
      </c>
      <c r="J7" s="17" t="inlineStr">
        <is>
          <t>PINNED</t>
        </is>
      </c>
      <c r="L7" s="13" t="n">
        <v>6611465</v>
      </c>
      <c r="O7" s="18" t="n">
        <v>1.5949</v>
      </c>
      <c r="P7" s="18" t="n">
        <v>1.8289</v>
      </c>
      <c r="Q7" s="18" t="n">
        <v>2.0855</v>
      </c>
      <c r="R7" s="19">
        <f>IFERROR(O7/P7,"")</f>
        <v/>
      </c>
      <c r="S7" s="19">
        <f>IFERROR(AVERAGE(R5:R7),"")</f>
        <v/>
      </c>
      <c r="U7" s="20">
        <f>IFERROR(O7/O4-1,"")</f>
        <v/>
      </c>
      <c r="V7" s="20">
        <f>IFERROR(P7/P4-1,"")</f>
        <v/>
      </c>
      <c r="AA7" s="17" t="inlineStr">
        <is>
          <t>gate</t>
        </is>
      </c>
      <c r="AB7" t="n">
        <v>19965.14</v>
      </c>
      <c r="AC7" t="inlineStr">
        <is>
          <t>ABSTAIN</t>
        </is>
      </c>
      <c r="AJ7" s="14">
        <f>IF(OR(AB7="",D7="",D7=0),"",AB7/D7)</f>
        <v/>
      </c>
    </row>
    <row r="8" ht="15" customHeight="1" s="24">
      <c r="A8" s="11" t="inlineStr">
        <is>
          <t>2026-07-06</t>
        </is>
      </c>
      <c r="B8" s="12" t="n">
        <v>0.00088851</v>
      </c>
      <c r="C8" s="20">
        <f>IFERROR(B8/B7-1,"")</f>
        <v/>
      </c>
      <c r="D8" s="13" t="n">
        <v>1243313</v>
      </c>
      <c r="E8" s="14" t="n">
        <v>45.46</v>
      </c>
      <c r="F8" s="15" t="n">
        <v>5e-05</v>
      </c>
      <c r="G8" s="15" t="n">
        <v>5e-05</v>
      </c>
      <c r="H8" s="15" t="n">
        <v>5e-05</v>
      </c>
      <c r="I8" s="16" t="n">
        <v>6</v>
      </c>
      <c r="J8" s="17" t="inlineStr">
        <is>
          <t>PINNED</t>
        </is>
      </c>
      <c r="L8" s="13" t="n">
        <v>6738572</v>
      </c>
      <c r="O8" s="18" t="n">
        <v>1.6006</v>
      </c>
      <c r="P8" s="18" t="n">
        <v>1.8305</v>
      </c>
      <c r="Q8" s="18" t="n">
        <v>2.1133</v>
      </c>
      <c r="R8" s="19">
        <f>IFERROR(O8/P8,"")</f>
        <v/>
      </c>
      <c r="S8" s="19">
        <f>IFERROR(AVERAGE(R6:R8),"")</f>
        <v/>
      </c>
      <c r="T8" s="19">
        <f>IFERROR(Q8/Q3,"")</f>
        <v/>
      </c>
      <c r="U8" s="20">
        <f>IFERROR(O8/O5-1,"")</f>
        <v/>
      </c>
      <c r="V8" s="20">
        <f>IFERROR(P8/P5-1,"")</f>
        <v/>
      </c>
      <c r="AA8" s="17" t="inlineStr">
        <is>
          <t>gate</t>
        </is>
      </c>
      <c r="AB8" t="n">
        <v>22689.42</v>
      </c>
      <c r="AC8" t="inlineStr">
        <is>
          <t>ABSTAIN</t>
        </is>
      </c>
      <c r="AJ8" s="14">
        <f>IF(OR(AB8="",D8="",D8=0),"",AB8/D8)</f>
        <v/>
      </c>
    </row>
    <row r="9" ht="15" customHeight="1" s="24">
      <c r="A9" s="11" t="inlineStr">
        <is>
          <t>2026-07-07</t>
        </is>
      </c>
      <c r="B9" s="12" t="n">
        <v>0.000895882</v>
      </c>
      <c r="C9" s="20">
        <f>IFERROR(B9/B8-1,"")</f>
        <v/>
      </c>
      <c r="D9" s="13" t="n">
        <v>3398704</v>
      </c>
      <c r="E9" s="14" t="n">
        <v>49.79</v>
      </c>
      <c r="F9" s="15" t="n">
        <v>5e-05</v>
      </c>
      <c r="G9" s="15" t="n">
        <v>5e-05</v>
      </c>
      <c r="H9" s="15" t="n">
        <v>5e-05</v>
      </c>
      <c r="I9" s="16" t="n">
        <v>6</v>
      </c>
      <c r="J9" s="17" t="inlineStr">
        <is>
          <t>PINNED</t>
        </is>
      </c>
      <c r="L9" s="13" t="n">
        <v>6576630</v>
      </c>
      <c r="O9" s="18" t="n">
        <v>1.5964</v>
      </c>
      <c r="P9" s="18" t="n">
        <v>1.867</v>
      </c>
      <c r="Q9" s="18" t="n">
        <v>2.1576</v>
      </c>
      <c r="R9" s="19">
        <f>IFERROR(O9/P9,"")</f>
        <v/>
      </c>
      <c r="S9" s="19">
        <f>IFERROR(AVERAGE(R7:R9),"")</f>
        <v/>
      </c>
      <c r="T9" s="19">
        <f>IFERROR(Q9/Q4,"")</f>
        <v/>
      </c>
      <c r="U9" s="20">
        <f>IFERROR(O9/O6-1,"")</f>
        <v/>
      </c>
      <c r="V9" s="20">
        <f>IFERROR(P9/P6-1,"")</f>
        <v/>
      </c>
      <c r="AA9" s="17" t="inlineStr">
        <is>
          <t>gate</t>
        </is>
      </c>
      <c r="AB9" t="n">
        <v>9756.809999999999</v>
      </c>
      <c r="AC9" t="inlineStr">
        <is>
          <t>ABSTAIN</t>
        </is>
      </c>
      <c r="AJ9" s="14">
        <f>IF(OR(AB9="",D9="",D9=0),"",AB9/D9)</f>
        <v/>
      </c>
    </row>
    <row r="10" ht="15" customHeight="1" s="24">
      <c r="A10" s="11" t="inlineStr">
        <is>
          <t>2026-07-08</t>
        </is>
      </c>
      <c r="B10" s="12" t="n">
        <v>0.000487977</v>
      </c>
      <c r="C10" s="20">
        <f>IFERROR(B10/B9-1,"")</f>
        <v/>
      </c>
      <c r="D10" s="13" t="n">
        <v>71087080</v>
      </c>
      <c r="E10" s="14" t="n">
        <v>49.37</v>
      </c>
      <c r="F10" s="15" t="n">
        <v>5e-05</v>
      </c>
      <c r="G10" s="15" t="n">
        <v>5e-05</v>
      </c>
      <c r="H10" s="15" t="n">
        <v>5e-05</v>
      </c>
      <c r="I10" s="16" t="n">
        <v>6</v>
      </c>
      <c r="J10" s="17" t="inlineStr">
        <is>
          <t>PINNED</t>
        </is>
      </c>
      <c r="L10" s="13" t="n">
        <v>6395269</v>
      </c>
      <c r="O10" s="18" t="n">
        <v>1.5913</v>
      </c>
      <c r="P10" s="18" t="n">
        <v>1.5562</v>
      </c>
      <c r="Q10" s="18" t="n">
        <v>1.8818</v>
      </c>
      <c r="R10" s="19">
        <f>IFERROR(O10/P10,"")</f>
        <v/>
      </c>
      <c r="S10" s="19">
        <f>IFERROR(AVERAGE(R8:R10),"")</f>
        <v/>
      </c>
      <c r="T10" s="19">
        <f>IFERROR(Q10/Q5,"")</f>
        <v/>
      </c>
      <c r="U10" s="20">
        <f>IFERROR(O10/O7-1,"")</f>
        <v/>
      </c>
      <c r="V10" s="20">
        <f>IFERROR(P10/P7-1,"")</f>
        <v/>
      </c>
      <c r="AA10" s="17" t="inlineStr">
        <is>
          <t>gate</t>
        </is>
      </c>
      <c r="AB10" t="n">
        <v>479413.99</v>
      </c>
      <c r="AC10" t="inlineStr">
        <is>
          <t>ABSTAIN</t>
        </is>
      </c>
      <c r="AJ10" s="14">
        <f>IF(OR(AB10="",D10="",D10=0),"",AB10/D10)</f>
        <v/>
      </c>
      <c r="AN10" s="17" t="inlineStr">
        <is>
          <t>flash crash -25% (wash-by-crash)</t>
        </is>
      </c>
    </row>
    <row r="11" ht="15" customHeight="1" s="24">
      <c r="A11" s="11" t="inlineStr">
        <is>
          <t>2026-07-09</t>
        </is>
      </c>
      <c r="B11" s="12" t="n">
        <v>0.00082473</v>
      </c>
      <c r="C11" s="20">
        <f>IFERROR(B11/B10-1,"")</f>
        <v/>
      </c>
      <c r="D11" s="13" t="n">
        <v>448935788</v>
      </c>
      <c r="E11" s="14" t="n">
        <v>50.37</v>
      </c>
      <c r="F11" s="15" t="n">
        <v>5.99e-05</v>
      </c>
      <c r="G11" s="15" t="n">
        <v>5e-05</v>
      </c>
      <c r="H11" s="15" t="n">
        <v>0.00010943</v>
      </c>
      <c r="I11" s="16" t="n">
        <v>6</v>
      </c>
      <c r="L11" s="13" t="n">
        <v>5641637</v>
      </c>
      <c r="O11" s="18" t="n">
        <v>1.4641</v>
      </c>
      <c r="P11" s="18" t="n">
        <v>1.1777</v>
      </c>
      <c r="Q11" s="18" t="n">
        <v>1.3294</v>
      </c>
      <c r="R11" s="19">
        <f>IFERROR(O11/P11,"")</f>
        <v/>
      </c>
      <c r="S11" s="19">
        <f>IFERROR(AVERAGE(R9:R11),"")</f>
        <v/>
      </c>
      <c r="T11" s="19">
        <f>IFERROR(Q11/Q6,"")</f>
        <v/>
      </c>
      <c r="U11" s="20">
        <f>IFERROR(O11/O8-1,"")</f>
        <v/>
      </c>
      <c r="V11" s="20">
        <f>IFERROR(P11/P8-1,"")</f>
        <v/>
      </c>
      <c r="W11" s="17" t="inlineStr">
        <is>
          <t>crowd_flush(crash)</t>
        </is>
      </c>
      <c r="AA11" s="17" t="inlineStr">
        <is>
          <t>gate</t>
        </is>
      </c>
      <c r="AB11" t="n">
        <v>668677.45</v>
      </c>
      <c r="AC11" t="inlineStr">
        <is>
          <t>ABSTAIN</t>
        </is>
      </c>
      <c r="AJ11" s="14">
        <f>IF(OR(AB11="",D11="",D11=0),"",AB11/D11)</f>
        <v/>
      </c>
      <c r="AN11" s="17" t="inlineStr">
        <is>
          <t>vol $449M ~100x nen; gLSR sap 2.1-&gt;0.62</t>
        </is>
      </c>
    </row>
    <row r="12" ht="15" customHeight="1" s="24">
      <c r="A12" s="11" t="inlineStr">
        <is>
          <t>2026-07-10</t>
        </is>
      </c>
      <c r="B12" s="12" t="n">
        <v>0.0009813389999999999</v>
      </c>
      <c r="C12" s="20">
        <f>IFERROR(B12/B11-1,"")</f>
        <v/>
      </c>
      <c r="D12" s="13" t="n">
        <v>263925355</v>
      </c>
      <c r="E12" s="14" t="n">
        <v>50.79</v>
      </c>
      <c r="F12" s="15" t="n">
        <v>8.57e-05</v>
      </c>
      <c r="G12" s="15" t="n">
        <v>5e-05</v>
      </c>
      <c r="H12" s="15" t="n">
        <v>0.00018188</v>
      </c>
      <c r="I12" s="16" t="n">
        <v>6</v>
      </c>
      <c r="L12" s="13" t="n">
        <v>9649060</v>
      </c>
      <c r="O12" s="18" t="n">
        <v>1.3405</v>
      </c>
      <c r="P12" s="18" t="n">
        <v>0.6725</v>
      </c>
      <c r="Q12" s="18" t="n">
        <v>0.7068</v>
      </c>
      <c r="R12" s="19">
        <f>IFERROR(O12/P12,"")</f>
        <v/>
      </c>
      <c r="S12" s="19">
        <f>IFERROR(AVERAGE(R10:R12),"")</f>
        <v/>
      </c>
      <c r="T12" s="19">
        <f>IFERROR(Q12/Q7,"")</f>
        <v/>
      </c>
      <c r="U12" s="20">
        <f>IFERROR(O12/O9-1,"")</f>
        <v/>
      </c>
      <c r="V12" s="20">
        <f>IFERROR(P12/P9-1,"")</f>
        <v/>
      </c>
      <c r="W12" s="17" t="inlineStr">
        <is>
          <t>lsr_accum</t>
        </is>
      </c>
      <c r="AA12" s="17" t="inlineStr">
        <is>
          <t>gate</t>
        </is>
      </c>
      <c r="AB12" t="n">
        <v>236769.36</v>
      </c>
      <c r="AC12" t="inlineStr">
        <is>
          <t>ABSTAIN</t>
        </is>
      </c>
      <c r="AJ12" s="14">
        <f>IF(OR(AB12="",D12="",D12=0),"",AB12/D12)</f>
        <v/>
      </c>
    </row>
    <row r="13" ht="15" customHeight="1" s="24">
      <c r="A13" s="11" t="inlineStr">
        <is>
          <t>2026-07-11</t>
        </is>
      </c>
      <c r="B13" s="12" t="n">
        <v>0.000975026</v>
      </c>
      <c r="C13" s="20">
        <f>IFERROR(B13/B12-1,"")</f>
        <v/>
      </c>
      <c r="D13" s="13" t="n">
        <v>78961425</v>
      </c>
      <c r="E13" s="14" t="n">
        <v>50.42</v>
      </c>
      <c r="F13" s="15" t="n">
        <v>5e-05</v>
      </c>
      <c r="G13" s="15" t="n">
        <v>5e-05</v>
      </c>
      <c r="H13" s="15" t="n">
        <v>5e-05</v>
      </c>
      <c r="I13" s="16" t="n">
        <v>6</v>
      </c>
      <c r="L13" s="13" t="n">
        <v>10560107</v>
      </c>
      <c r="O13" s="18" t="n">
        <v>1.2976</v>
      </c>
      <c r="P13" s="18" t="n">
        <v>0.626</v>
      </c>
      <c r="Q13" s="18" t="n">
        <v>0.6875</v>
      </c>
      <c r="R13" s="19">
        <f>IFERROR(O13/P13,"")</f>
        <v/>
      </c>
      <c r="S13" s="19">
        <f>IFERROR(AVERAGE(R11:R13),"")</f>
        <v/>
      </c>
      <c r="T13" s="19">
        <f>IFERROR(Q13/Q8,"")</f>
        <v/>
      </c>
      <c r="U13" s="20">
        <f>IFERROR(O13/O10-1,"")</f>
        <v/>
      </c>
      <c r="V13" s="20">
        <f>IFERROR(P13/P10-1,"")</f>
        <v/>
      </c>
      <c r="W13" s="17" t="inlineStr">
        <is>
          <t>lsr_accum</t>
        </is>
      </c>
      <c r="AA13" s="17" t="inlineStr">
        <is>
          <t>gate</t>
        </is>
      </c>
      <c r="AB13" t="n">
        <v>67949.34</v>
      </c>
      <c r="AC13" t="inlineStr">
        <is>
          <t>ABSTAIN</t>
        </is>
      </c>
      <c r="AJ13" s="14">
        <f>IF(OR(AB13="",D13="",D13=0),"",AB13/D13)</f>
        <v/>
      </c>
    </row>
    <row r="14" ht="15" customHeight="1" s="24">
      <c r="A14" s="11" t="inlineStr">
        <is>
          <t>2026-07-12</t>
        </is>
      </c>
      <c r="B14" s="12" t="n">
        <v>0.000930228</v>
      </c>
      <c r="C14" s="20">
        <f>IFERROR(B14/B13-1,"")</f>
        <v/>
      </c>
      <c r="D14" s="13" t="n">
        <v>34682897</v>
      </c>
      <c r="E14" s="14" t="n">
        <v>50.55</v>
      </c>
      <c r="F14" s="15" t="n">
        <v>5e-05</v>
      </c>
      <c r="G14" s="15" t="n">
        <v>5e-05</v>
      </c>
      <c r="H14" s="15" t="n">
        <v>5e-05</v>
      </c>
      <c r="I14" s="16" t="n">
        <v>6</v>
      </c>
      <c r="L14" s="13" t="n">
        <v>9508009</v>
      </c>
      <c r="O14" s="18" t="n">
        <v>1.555</v>
      </c>
      <c r="P14" s="18" t="n">
        <v>0.6412</v>
      </c>
      <c r="Q14" s="18" t="n">
        <v>0.7112000000000001</v>
      </c>
      <c r="R14" s="19">
        <f>IFERROR(O14/P14,"")</f>
        <v/>
      </c>
      <c r="S14" s="19">
        <f>IFERROR(AVERAGE(R12:R14),"")</f>
        <v/>
      </c>
      <c r="T14" s="19">
        <f>IFERROR(Q14/Q9,"")</f>
        <v/>
      </c>
      <c r="U14" s="20">
        <f>IFERROR(O14/O11-1,"")</f>
        <v/>
      </c>
      <c r="V14" s="20">
        <f>IFERROR(P14/P11-1,"")</f>
        <v/>
      </c>
      <c r="W14" s="17" t="inlineStr">
        <is>
          <t>lsr_accum</t>
        </is>
      </c>
      <c r="AA14" s="17" t="inlineStr">
        <is>
          <t>gate</t>
        </is>
      </c>
      <c r="AB14" t="n">
        <v>27765.15</v>
      </c>
      <c r="AC14" t="inlineStr">
        <is>
          <t>ABSTAIN</t>
        </is>
      </c>
      <c r="AJ14" s="14">
        <f>IF(OR(AB14="",D14="",D14=0),"",AB14/D14)</f>
        <v/>
      </c>
    </row>
    <row r="15" ht="15" customHeight="1" s="24">
      <c r="A15" s="11" t="inlineStr">
        <is>
          <t>2026-07-13</t>
        </is>
      </c>
      <c r="B15" s="12" t="n">
        <v>0.000937165</v>
      </c>
      <c r="C15" s="20">
        <f>IFERROR(B15/B14-1,"")</f>
        <v/>
      </c>
      <c r="D15" s="13" t="n">
        <v>19461999</v>
      </c>
      <c r="E15" s="14" t="n">
        <v>51.14</v>
      </c>
      <c r="F15" s="15" t="n">
        <v>5e-05</v>
      </c>
      <c r="G15" s="15" t="n">
        <v>5e-05</v>
      </c>
      <c r="H15" s="15" t="n">
        <v>5e-05</v>
      </c>
      <c r="I15" s="16" t="n">
        <v>6</v>
      </c>
      <c r="L15" s="13" t="n">
        <v>9137824</v>
      </c>
      <c r="O15" s="18" t="n">
        <v>1.2891</v>
      </c>
      <c r="P15" s="18" t="n">
        <v>0.6536999999999999</v>
      </c>
      <c r="Q15" s="18" t="n">
        <v>0.7406</v>
      </c>
      <c r="R15" s="19">
        <f>IFERROR(O15/P15,"")</f>
        <v/>
      </c>
      <c r="S15" s="19">
        <f>IFERROR(AVERAGE(R13:R15),"")</f>
        <v/>
      </c>
      <c r="T15" s="19">
        <f>IFERROR(Q15/Q10,"")</f>
        <v/>
      </c>
      <c r="U15" s="20">
        <f>IFERROR(O15/O12-1,"")</f>
        <v/>
      </c>
      <c r="V15" s="20">
        <f>IFERROR(P15/P12-1,"")</f>
        <v/>
      </c>
      <c r="W15" s="17" t="inlineStr">
        <is>
          <t>lsr_accum</t>
        </is>
      </c>
      <c r="AA15" s="17" t="inlineStr">
        <is>
          <t>gate</t>
        </is>
      </c>
      <c r="AB15" t="n">
        <v>67263.77</v>
      </c>
      <c r="AC15" t="inlineStr">
        <is>
          <t>ABSTAIN</t>
        </is>
      </c>
      <c r="AJ15" s="14">
        <f>IF(OR(AB15="",D15="",D15=0),"",AB15/D15)</f>
        <v/>
      </c>
      <c r="AL15" s="17" t="inlineStr">
        <is>
          <t>7% supply -&gt; 5 vi moi, hold (13-16/07)</t>
        </is>
      </c>
    </row>
    <row r="16" ht="15" customHeight="1" s="24">
      <c r="A16" s="11" t="inlineStr">
        <is>
          <t>2026-07-14</t>
        </is>
      </c>
      <c r="B16" s="12" t="n">
        <v>0.00088581</v>
      </c>
      <c r="C16" s="20">
        <f>IFERROR(B16/B15-1,"")</f>
        <v/>
      </c>
      <c r="D16" s="13" t="n">
        <v>10837328</v>
      </c>
      <c r="E16" s="14" t="n">
        <v>52.09</v>
      </c>
      <c r="F16" s="15" t="n">
        <v>5e-05</v>
      </c>
      <c r="G16" s="15" t="n">
        <v>5e-05</v>
      </c>
      <c r="H16" s="15" t="n">
        <v>5e-05</v>
      </c>
      <c r="I16" s="16" t="n">
        <v>6</v>
      </c>
      <c r="L16" s="13" t="n">
        <v>8251049</v>
      </c>
      <c r="O16" s="18" t="n">
        <v>1.3258</v>
      </c>
      <c r="P16" s="18" t="n">
        <v>0.7524999999999999</v>
      </c>
      <c r="Q16" s="18" t="n">
        <v>0.8622</v>
      </c>
      <c r="R16" s="19">
        <f>IFERROR(O16/P16,"")</f>
        <v/>
      </c>
      <c r="S16" s="19">
        <f>IFERROR(AVERAGE(R14:R16),"")</f>
        <v/>
      </c>
      <c r="T16" s="19">
        <f>IFERROR(Q16/Q11,"")</f>
        <v/>
      </c>
      <c r="U16" s="20">
        <f>IFERROR(O16/O13-1,"")</f>
        <v/>
      </c>
      <c r="V16" s="20">
        <f>IFERROR(P16/P13-1,"")</f>
        <v/>
      </c>
      <c r="W16" s="17" t="inlineStr">
        <is>
          <t>lsr_accum</t>
        </is>
      </c>
      <c r="AA16" s="17" t="inlineStr">
        <is>
          <t>gate</t>
        </is>
      </c>
      <c r="AB16" t="n">
        <v>36889.39</v>
      </c>
      <c r="AC16" t="inlineStr">
        <is>
          <t>ABSTAIN</t>
        </is>
      </c>
      <c r="AJ16" s="14">
        <f>IF(OR(AB16="",D16="",D16=0),"",AB16/D16)</f>
        <v/>
      </c>
    </row>
    <row r="17" ht="15" customHeight="1" s="24">
      <c r="A17" s="11" t="inlineStr">
        <is>
          <t>2026-07-15</t>
        </is>
      </c>
      <c r="B17" s="12" t="n">
        <v>0.000872343</v>
      </c>
      <c r="C17" s="20">
        <f>IFERROR(B17/B16-1,"")</f>
        <v/>
      </c>
      <c r="D17" s="13" t="n">
        <v>6576913</v>
      </c>
      <c r="E17" s="14" t="n">
        <v>49.24</v>
      </c>
      <c r="F17" s="15" t="n">
        <v>5e-05</v>
      </c>
      <c r="G17" s="15" t="n">
        <v>5e-05</v>
      </c>
      <c r="H17" s="15" t="n">
        <v>5e-05</v>
      </c>
      <c r="I17" s="16" t="n">
        <v>6</v>
      </c>
      <c r="L17" s="13" t="n">
        <v>7940865</v>
      </c>
      <c r="M17" s="21">
        <f>IFERROR(L17/MEDIAN(L3:L16),"")</f>
        <v/>
      </c>
      <c r="O17" s="18" t="n">
        <v>1.3551</v>
      </c>
      <c r="P17" s="18" t="n">
        <v>0.7322</v>
      </c>
      <c r="Q17" s="18" t="n">
        <v>0.8332000000000001</v>
      </c>
      <c r="R17" s="19">
        <f>IFERROR(O17/P17,"")</f>
        <v/>
      </c>
      <c r="S17" s="19">
        <f>IFERROR(AVERAGE(R15:R17),"")</f>
        <v/>
      </c>
      <c r="T17" s="19">
        <f>IFERROR(Q17/Q12,"")</f>
        <v/>
      </c>
      <c r="U17" s="20">
        <f>IFERROR(O17/O14-1,"")</f>
        <v/>
      </c>
      <c r="V17" s="20">
        <f>IFERROR(P17/P14-1,"")</f>
        <v/>
      </c>
      <c r="W17" s="17" t="inlineStr">
        <is>
          <t>lsr_accum</t>
        </is>
      </c>
      <c r="AA17" s="17" t="inlineStr">
        <is>
          <t>gate</t>
        </is>
      </c>
      <c r="AB17" t="n">
        <v>17499.33</v>
      </c>
      <c r="AC17" t="inlineStr">
        <is>
          <t>ABSTAIN</t>
        </is>
      </c>
      <c r="AJ17" s="14">
        <f>IF(OR(AB17="",D17="",D17=0),"",AB17/D17)</f>
        <v/>
      </c>
    </row>
    <row r="18" ht="15" customHeight="1" s="24">
      <c r="A18" s="11" t="inlineStr">
        <is>
          <t>2026-07-16</t>
        </is>
      </c>
      <c r="B18" s="12" t="n">
        <v>0.0008485810000000001</v>
      </c>
      <c r="C18" s="20">
        <f>IFERROR(B18/B17-1,"")</f>
        <v/>
      </c>
      <c r="D18" s="13" t="n">
        <v>4433202</v>
      </c>
      <c r="E18" s="14" t="n">
        <v>50.1</v>
      </c>
      <c r="F18" s="15" t="n">
        <v>5e-05</v>
      </c>
      <c r="G18" s="15" t="n">
        <v>5e-05</v>
      </c>
      <c r="H18" s="15" t="n">
        <v>5e-05</v>
      </c>
      <c r="I18" s="16" t="n">
        <v>6</v>
      </c>
      <c r="L18" s="13" t="n">
        <v>7571915</v>
      </c>
      <c r="M18" s="21">
        <f>IFERROR(L18/MEDIAN(L4:L17),"")</f>
        <v/>
      </c>
      <c r="O18" s="18" t="n">
        <v>1.3748</v>
      </c>
      <c r="P18" s="18" t="n">
        <v>0.8464</v>
      </c>
      <c r="Q18" s="18" t="n">
        <v>0.9689</v>
      </c>
      <c r="R18" s="19">
        <f>IFERROR(O18/P18,"")</f>
        <v/>
      </c>
      <c r="S18" s="19">
        <f>IFERROR(AVERAGE(R16:R18),"")</f>
        <v/>
      </c>
      <c r="T18" s="19">
        <f>IFERROR(Q18/Q13,"")</f>
        <v/>
      </c>
      <c r="U18" s="20">
        <f>IFERROR(O18/O15-1,"")</f>
        <v/>
      </c>
      <c r="V18" s="20">
        <f>IFERROR(P18/P15-1,"")</f>
        <v/>
      </c>
      <c r="W18" s="17" t="inlineStr">
        <is>
          <t>lsr_accum</t>
        </is>
      </c>
      <c r="AA18" s="17" t="inlineStr">
        <is>
          <t>gate</t>
        </is>
      </c>
      <c r="AB18" t="n">
        <v>7085.69</v>
      </c>
      <c r="AC18" t="inlineStr">
        <is>
          <t>ABSTAIN</t>
        </is>
      </c>
      <c r="AJ18" s="14">
        <f>IF(OR(AB18="",D18="",D18=0),"",AB18/D18)</f>
        <v/>
      </c>
    </row>
    <row r="19" ht="15" customHeight="1" s="24">
      <c r="A19" s="11" t="inlineStr">
        <is>
          <t>2026-07-17</t>
        </is>
      </c>
      <c r="B19" s="12" t="n">
        <v>0.000962506</v>
      </c>
      <c r="C19" s="20">
        <f>IFERROR(B19/B18-1,"")</f>
        <v/>
      </c>
      <c r="D19" s="13" t="n">
        <v>23083629</v>
      </c>
      <c r="E19" s="14" t="n">
        <v>51.41</v>
      </c>
      <c r="F19" s="15" t="n">
        <v>0.000114252</v>
      </c>
      <c r="G19" s="15" t="n">
        <v>5e-05</v>
      </c>
      <c r="H19" s="15" t="n">
        <v>0.00030836</v>
      </c>
      <c r="I19" s="16" t="n">
        <v>6</v>
      </c>
      <c r="J19" s="17" t="inlineStr">
        <is>
          <t>FLOAT</t>
        </is>
      </c>
      <c r="L19" s="13" t="n">
        <v>7519871</v>
      </c>
      <c r="M19" s="21">
        <f>IFERROR(L19/MEDIAN(L5:L18),"")</f>
        <v/>
      </c>
      <c r="O19" s="18" t="n">
        <v>1.7464</v>
      </c>
      <c r="P19" s="18" t="n">
        <v>0.8709</v>
      </c>
      <c r="Q19" s="18" t="n">
        <v>0.9635</v>
      </c>
      <c r="R19" s="19">
        <f>IFERROR(O19/P19,"")</f>
        <v/>
      </c>
      <c r="S19" s="19">
        <f>IFERROR(AVERAGE(R17:R19),"")</f>
        <v/>
      </c>
      <c r="T19" s="19">
        <f>IFERROR(Q19/Q14,"")</f>
        <v/>
      </c>
      <c r="U19" s="20">
        <f>IFERROR(O19/O16-1,"")</f>
        <v/>
      </c>
      <c r="V19" s="20">
        <f>IFERROR(P19/P16-1,"")</f>
        <v/>
      </c>
      <c r="W19" s="17" t="inlineStr">
        <is>
          <t>pos_rerate|funding_unpin</t>
        </is>
      </c>
      <c r="AA19" s="17" t="inlineStr">
        <is>
          <t>gate</t>
        </is>
      </c>
      <c r="AB19" t="n">
        <v>64034.17</v>
      </c>
      <c r="AC19" t="inlineStr">
        <is>
          <t>ABSTAIN</t>
        </is>
      </c>
      <c r="AJ19" s="14">
        <f>IF(OR(AB19="",D19="",D19=0),"",AB19/D19)</f>
        <v/>
      </c>
    </row>
    <row r="20" ht="15" customHeight="1" s="24">
      <c r="A20" s="11" t="inlineStr">
        <is>
          <t>2026-07-18</t>
        </is>
      </c>
      <c r="B20" s="12" t="n">
        <v>0.0009773340000000001</v>
      </c>
      <c r="C20" s="20">
        <f>IFERROR(B20/B19-1,"")</f>
        <v/>
      </c>
      <c r="D20" s="13" t="n">
        <v>10381825</v>
      </c>
      <c r="E20" s="14" t="n">
        <v>50.63</v>
      </c>
      <c r="F20" s="15" t="n">
        <v>0.000167015</v>
      </c>
      <c r="G20" s="15" t="n">
        <v>5e-05</v>
      </c>
      <c r="H20" s="15" t="n">
        <v>0.00030784</v>
      </c>
      <c r="I20" s="16" t="n">
        <v>6</v>
      </c>
      <c r="L20" s="13" t="n">
        <v>8786155</v>
      </c>
      <c r="M20" s="21">
        <f>IFERROR(L20/MEDIAN(L6:L19),"")</f>
        <v/>
      </c>
      <c r="O20" s="18" t="n">
        <v>1.6971</v>
      </c>
      <c r="P20" s="18" t="n">
        <v>1</v>
      </c>
      <c r="Q20" s="18" t="n">
        <v>1.2129</v>
      </c>
      <c r="R20" s="19">
        <f>IFERROR(O20/P20,"")</f>
        <v/>
      </c>
      <c r="S20" s="19">
        <f>IFERROR(AVERAGE(R18:R20),"")</f>
        <v/>
      </c>
      <c r="T20" s="19">
        <f>IFERROR(Q20/Q15,"")</f>
        <v/>
      </c>
      <c r="U20" s="20">
        <f>IFERROR(O20/O17-1,"")</f>
        <v/>
      </c>
      <c r="V20" s="20">
        <f>IFERROR(P20/P17-1,"")</f>
        <v/>
      </c>
      <c r="AA20" s="17" t="inlineStr">
        <is>
          <t>gate</t>
        </is>
      </c>
      <c r="AB20" t="n">
        <v>49303.02</v>
      </c>
      <c r="AC20" t="inlineStr">
        <is>
          <t>ABSTAIN</t>
        </is>
      </c>
      <c r="AJ20" s="14">
        <f>IF(OR(AB20="",D20="",D20=0),"",AB20/D20)</f>
        <v/>
      </c>
    </row>
    <row r="21" ht="15" customHeight="1" s="24">
      <c r="A21" s="11" t="inlineStr">
        <is>
          <t>2026-07-19</t>
        </is>
      </c>
      <c r="B21" s="12" t="n">
        <v>0.001192742</v>
      </c>
      <c r="C21" s="20">
        <f>IFERROR(B21/B20-1,"")</f>
        <v/>
      </c>
      <c r="D21" s="13" t="n">
        <v>58857563</v>
      </c>
      <c r="E21" s="14" t="n">
        <v>48.45</v>
      </c>
      <c r="F21" s="15" t="n">
        <v>0.000238805</v>
      </c>
      <c r="G21" s="15" t="n">
        <v>5e-05</v>
      </c>
      <c r="H21" s="15" t="n">
        <v>0.00048669</v>
      </c>
      <c r="I21" s="16" t="n">
        <v>6</v>
      </c>
      <c r="L21" s="13" t="n">
        <v>8738961</v>
      </c>
      <c r="M21" s="21">
        <f>IFERROR(L21/MEDIAN(L7:L20),"")</f>
        <v/>
      </c>
      <c r="O21" s="18" t="n">
        <v>1.7125</v>
      </c>
      <c r="P21" s="18" t="n">
        <v>1.1088</v>
      </c>
      <c r="Q21" s="18" t="n">
        <v>1.4172</v>
      </c>
      <c r="R21" s="19">
        <f>IFERROR(O21/P21,"")</f>
        <v/>
      </c>
      <c r="S21" s="19">
        <f>IFERROR(AVERAGE(R19:R21),"")</f>
        <v/>
      </c>
      <c r="T21" s="19">
        <f>IFERROR(Q21/Q16,"")</f>
        <v/>
      </c>
      <c r="U21" s="20">
        <f>IFERROR(O21/O18-1,"")</f>
        <v/>
      </c>
      <c r="V21" s="20">
        <f>IFERROR(P21/P18-1,"")</f>
        <v/>
      </c>
      <c r="AA21" s="17" t="inlineStr">
        <is>
          <t>gate</t>
        </is>
      </c>
      <c r="AB21" t="n">
        <v>212614.87</v>
      </c>
      <c r="AC21" t="inlineStr">
        <is>
          <t>ABSTAIN</t>
        </is>
      </c>
      <c r="AJ21" s="14">
        <f>IF(OR(AB21="",D21="",D21=0),"",AB21/D21)</f>
        <v/>
      </c>
    </row>
    <row r="22" ht="15" customHeight="1" s="24">
      <c r="A22" s="11" t="inlineStr">
        <is>
          <t>2026-07-20</t>
        </is>
      </c>
      <c r="B22" s="12" t="n">
        <v>0.001192016</v>
      </c>
      <c r="C22" s="20">
        <f>IFERROR(B22/B21-1,"")</f>
        <v/>
      </c>
      <c r="D22" s="13" t="n">
        <v>13022427</v>
      </c>
      <c r="E22" s="14" t="n">
        <v>48.89</v>
      </c>
      <c r="F22" s="15" t="n">
        <v>0.000120535</v>
      </c>
      <c r="G22" s="15" t="n">
        <v>5e-05</v>
      </c>
      <c r="H22" s="15" t="n">
        <v>0.00026929</v>
      </c>
      <c r="I22" s="16" t="n">
        <v>6</v>
      </c>
      <c r="L22" s="13" t="n">
        <v>10260599</v>
      </c>
      <c r="M22" s="21">
        <f>IFERROR(L22/MEDIAN(L8:L21),"")</f>
        <v/>
      </c>
      <c r="O22" s="18" t="n">
        <v>1.7507</v>
      </c>
      <c r="P22" s="18" t="n">
        <v>1.0521</v>
      </c>
      <c r="Q22" s="18" t="n">
        <v>1.318</v>
      </c>
      <c r="R22" s="19">
        <f>IFERROR(O22/P22,"")</f>
        <v/>
      </c>
      <c r="S22" s="19">
        <f>IFERROR(AVERAGE(R20:R22),"")</f>
        <v/>
      </c>
      <c r="T22" s="19">
        <f>IFERROR(Q22/Q17,"")</f>
        <v/>
      </c>
      <c r="U22" s="20">
        <f>IFERROR(O22/O19-1,"")</f>
        <v/>
      </c>
      <c r="V22" s="20">
        <f>IFERROR(P22/P19-1,"")</f>
        <v/>
      </c>
      <c r="AA22" s="17" t="inlineStr">
        <is>
          <t>gate</t>
        </is>
      </c>
      <c r="AB22" t="n">
        <v>33746.04</v>
      </c>
      <c r="AC22" t="inlineStr">
        <is>
          <t>ABSTAIN</t>
        </is>
      </c>
      <c r="AJ22" s="14">
        <f>IF(OR(AB22="",D22="",D22=0),"",AB22/D22)</f>
        <v/>
      </c>
    </row>
    <row r="23" ht="15" customHeight="1" s="24">
      <c r="A23" s="11" t="inlineStr">
        <is>
          <t>2026-07-21</t>
        </is>
      </c>
      <c r="B23" s="12" t="n">
        <v>0.001135269</v>
      </c>
      <c r="C23" s="20">
        <f>IFERROR(B23/B22-1,"")</f>
        <v/>
      </c>
      <c r="D23" s="13" t="n">
        <v>9960780</v>
      </c>
      <c r="E23" s="14" t="n">
        <v>52.19</v>
      </c>
      <c r="F23" s="15" t="n">
        <v>9.37e-05</v>
      </c>
      <c r="G23" s="15" t="n">
        <v>5e-05</v>
      </c>
      <c r="H23" s="15" t="n">
        <v>0.00023109</v>
      </c>
      <c r="I23" s="16" t="n">
        <v>6</v>
      </c>
      <c r="L23" s="13" t="n">
        <v>9461218</v>
      </c>
      <c r="M23" s="21">
        <f>IFERROR(L23/MEDIAN(L9:L22),"")</f>
        <v/>
      </c>
      <c r="O23" s="18" t="n">
        <v>1.7365</v>
      </c>
      <c r="P23" s="18" t="n">
        <v>1.0868</v>
      </c>
      <c r="Q23" s="18" t="n">
        <v>1.3958</v>
      </c>
      <c r="R23" s="19">
        <f>IFERROR(O23/P23,"")</f>
        <v/>
      </c>
      <c r="S23" s="19">
        <f>IFERROR(AVERAGE(R21:R23),"")</f>
        <v/>
      </c>
      <c r="T23" s="19">
        <f>IFERROR(Q23/Q18,"")</f>
        <v/>
      </c>
      <c r="U23" s="20">
        <f>IFERROR(O23/O20-1,"")</f>
        <v/>
      </c>
      <c r="V23" s="20">
        <f>IFERROR(P23/P20-1,"")</f>
        <v/>
      </c>
      <c r="AA23" s="17" t="inlineStr">
        <is>
          <t>gate</t>
        </is>
      </c>
      <c r="AB23" t="n">
        <v>27282.63</v>
      </c>
      <c r="AC23" t="inlineStr">
        <is>
          <t>ABSTAIN</t>
        </is>
      </c>
      <c r="AJ23" s="14">
        <f>IF(OR(AB23="",D23="",D23=0),"",AB23/D23)</f>
        <v/>
      </c>
    </row>
    <row r="24" ht="15" customHeight="1" s="24">
      <c r="A24" s="11" t="inlineStr">
        <is>
          <t>2026-07-22</t>
        </is>
      </c>
      <c r="B24" s="12" t="n">
        <v>0.001077989</v>
      </c>
      <c r="C24" s="20">
        <f>IFERROR(B24/B23-1,"")</f>
        <v/>
      </c>
      <c r="D24" s="13" t="n">
        <v>10290454</v>
      </c>
      <c r="E24" s="14" t="n">
        <v>52.4</v>
      </c>
      <c r="F24" s="15" t="n">
        <v>5.81e-05</v>
      </c>
      <c r="G24" s="15" t="n">
        <v>5e-05</v>
      </c>
      <c r="H24" s="15" t="n">
        <v>9.88e-05</v>
      </c>
      <c r="I24" s="16" t="n">
        <v>6</v>
      </c>
      <c r="L24" s="13" t="n">
        <v>9817482</v>
      </c>
      <c r="M24" s="21">
        <f>IFERROR(L24/MEDIAN(L10:L23),"")</f>
        <v/>
      </c>
      <c r="O24" s="18" t="n">
        <v>1.7339</v>
      </c>
      <c r="P24" s="18" t="n">
        <v>1.1427</v>
      </c>
      <c r="Q24" s="18" t="n">
        <v>1.5349</v>
      </c>
      <c r="R24" s="19">
        <f>IFERROR(O24/P24,"")</f>
        <v/>
      </c>
      <c r="S24" s="19">
        <f>IFERROR(AVERAGE(R22:R24),"")</f>
        <v/>
      </c>
      <c r="T24" s="19">
        <f>IFERROR(Q24/Q19,"")</f>
        <v/>
      </c>
      <c r="U24" s="20">
        <f>IFERROR(O24/O21-1,"")</f>
        <v/>
      </c>
      <c r="V24" s="20">
        <f>IFERROR(P24/P21-1,"")</f>
        <v/>
      </c>
      <c r="AA24" s="17" t="inlineStr">
        <is>
          <t>gate</t>
        </is>
      </c>
      <c r="AB24" t="n">
        <v>25719.93</v>
      </c>
      <c r="AC24" t="inlineStr">
        <is>
          <t>ABSTAIN</t>
        </is>
      </c>
      <c r="AJ24" s="14">
        <f>IF(OR(AB24="",D24="",D24=0),"",AB24/D24)</f>
        <v/>
      </c>
    </row>
    <row r="25" ht="15" customHeight="1" s="24">
      <c r="A25" s="11" t="inlineStr">
        <is>
          <t>2026-07-23</t>
        </is>
      </c>
      <c r="B25" s="12" t="n">
        <v>0.00103622</v>
      </c>
      <c r="C25" s="20">
        <f>IFERROR(B25/B24-1,"")</f>
        <v/>
      </c>
      <c r="D25" s="13" t="n">
        <v>4854076</v>
      </c>
      <c r="E25" s="14" t="n">
        <v>50.43</v>
      </c>
      <c r="F25" s="15" t="n">
        <v>7.37e-05</v>
      </c>
      <c r="G25" s="15" t="n">
        <v>5e-05</v>
      </c>
      <c r="H25" s="15" t="n">
        <v>0.00015144</v>
      </c>
      <c r="I25" s="16" t="n">
        <v>6</v>
      </c>
      <c r="L25" s="13" t="n">
        <v>8886912</v>
      </c>
      <c r="M25" s="21">
        <f>IFERROR(L25/MEDIAN(L11:L24),"")</f>
        <v/>
      </c>
      <c r="O25" s="18" t="n">
        <v>1.6934</v>
      </c>
      <c r="P25" s="18" t="n">
        <v>1.1529</v>
      </c>
      <c r="Q25" s="18" t="n">
        <v>1.5589</v>
      </c>
      <c r="R25" s="19">
        <f>IFERROR(O25/P25,"")</f>
        <v/>
      </c>
      <c r="S25" s="19">
        <f>IFERROR(AVERAGE(R23:R25),"")</f>
        <v/>
      </c>
      <c r="T25" s="19">
        <f>IFERROR(Q25/Q20,"")</f>
        <v/>
      </c>
      <c r="U25" s="20">
        <f>IFERROR(O25/O22-1,"")</f>
        <v/>
      </c>
      <c r="V25" s="20">
        <f>IFERROR(P25/P22-1,"")</f>
        <v/>
      </c>
      <c r="AA25" s="17" t="inlineStr">
        <is>
          <t>gate</t>
        </is>
      </c>
      <c r="AB25" t="n">
        <v>19137.11</v>
      </c>
      <c r="AC25" t="inlineStr">
        <is>
          <t>ABSTAIN</t>
        </is>
      </c>
      <c r="AJ25" s="14">
        <f>IF(OR(AB25="",D25="",D25=0),"",AB25/D25)</f>
        <v/>
      </c>
    </row>
    <row r="26" ht="15" customHeight="1" s="24">
      <c r="A26" s="11" t="inlineStr">
        <is>
          <t>2026-07-24</t>
        </is>
      </c>
      <c r="B26" s="12" t="n">
        <v>0.001028873</v>
      </c>
      <c r="C26" s="20">
        <f>IFERROR(B26/B25-1,"")</f>
        <v/>
      </c>
      <c r="D26" s="13" t="n">
        <v>5807309</v>
      </c>
      <c r="E26" s="14" t="n">
        <v>51.19</v>
      </c>
      <c r="F26" s="15" t="n">
        <v>5e-05</v>
      </c>
      <c r="G26" s="15" t="n">
        <v>5e-05</v>
      </c>
      <c r="H26" s="15" t="n">
        <v>5e-05</v>
      </c>
      <c r="I26" s="16" t="n">
        <v>6</v>
      </c>
      <c r="L26" s="13" t="n">
        <v>8233374</v>
      </c>
      <c r="M26" s="21">
        <f>IFERROR(L26/MEDIAN(L12:L25),"")</f>
        <v/>
      </c>
      <c r="O26" s="18" t="n">
        <v>1.6937</v>
      </c>
      <c r="P26" s="18" t="n">
        <v>1.1524</v>
      </c>
      <c r="Q26" s="18" t="n">
        <v>1.5253</v>
      </c>
      <c r="R26" s="19">
        <f>IFERROR(O26/P26,"")</f>
        <v/>
      </c>
      <c r="S26" s="19">
        <f>IFERROR(AVERAGE(R24:R26),"")</f>
        <v/>
      </c>
      <c r="T26" s="19">
        <f>IFERROR(Q26/Q21,"")</f>
        <v/>
      </c>
      <c r="U26" s="20">
        <f>IFERROR(O26/O23-1,"")</f>
        <v/>
      </c>
      <c r="V26" s="20">
        <f>IFERROR(P26/P23-1,"")</f>
        <v/>
      </c>
      <c r="AA26" s="17" t="inlineStr">
        <is>
          <t>gate</t>
        </is>
      </c>
      <c r="AB26" t="n">
        <v>10212.63</v>
      </c>
      <c r="AC26" t="inlineStr">
        <is>
          <t>ABSTAIN</t>
        </is>
      </c>
      <c r="AJ26" s="14">
        <f>IF(OR(AB26="",D26="",D26=0),"",AB26/D26)</f>
        <v/>
      </c>
    </row>
    <row r="27" ht="15" customHeight="1" s="24">
      <c r="A27" s="11" t="inlineStr">
        <is>
          <t>2026-07-25</t>
        </is>
      </c>
      <c r="B27" s="12" t="n">
        <v>0.001036604</v>
      </c>
      <c r="C27" s="20">
        <f>IFERROR(B27/B26-1,"")</f>
        <v/>
      </c>
      <c r="D27" s="13" t="n">
        <v>3089525</v>
      </c>
      <c r="E27" s="14" t="n">
        <v>49.88</v>
      </c>
      <c r="F27" s="15" t="n">
        <v>6.109999999999999e-05</v>
      </c>
      <c r="G27" s="15" t="n">
        <v>5e-05</v>
      </c>
      <c r="H27" s="15" t="n">
        <v>0.00010433</v>
      </c>
      <c r="I27" s="16" t="n">
        <v>6</v>
      </c>
      <c r="L27" s="13" t="n">
        <v>8320418</v>
      </c>
      <c r="M27" s="21">
        <f>IFERROR(L27/MEDIAN(L13:L26),"")</f>
        <v/>
      </c>
      <c r="O27" s="18" t="n">
        <v>1.7082</v>
      </c>
      <c r="P27" s="18" t="n">
        <v>1.1608</v>
      </c>
      <c r="Q27" s="18" t="n">
        <v>1.58</v>
      </c>
      <c r="R27" s="19">
        <f>IFERROR(O27/P27,"")</f>
        <v/>
      </c>
      <c r="S27" s="19">
        <f>IFERROR(AVERAGE(R25:R27),"")</f>
        <v/>
      </c>
      <c r="T27" s="19">
        <f>IFERROR(Q27/Q22,"")</f>
        <v/>
      </c>
      <c r="U27" s="20">
        <f>IFERROR(O27/O24-1,"")</f>
        <v/>
      </c>
      <c r="V27" s="20">
        <f>IFERROR(P27/P24-1,"")</f>
        <v/>
      </c>
      <c r="AA27" s="17" t="inlineStr">
        <is>
          <t>gate</t>
        </is>
      </c>
      <c r="AB27" t="n">
        <v>4344.5</v>
      </c>
      <c r="AC27" t="inlineStr">
        <is>
          <t>ABSTAIN</t>
        </is>
      </c>
      <c r="AJ27" s="14">
        <f>IF(OR(AB27="",D27="",D27=0),"",AB27/D27)</f>
        <v/>
      </c>
    </row>
    <row r="28" ht="15" customHeight="1" s="24">
      <c r="A28" s="11" t="inlineStr">
        <is>
          <t>2026-07-26</t>
        </is>
      </c>
      <c r="B28" s="12" t="n">
        <v>0.001110815</v>
      </c>
      <c r="C28" s="20">
        <f>IFERROR(B28/B27-1,"")</f>
        <v/>
      </c>
      <c r="D28" s="13" t="n">
        <v>2795377</v>
      </c>
      <c r="E28" s="14" t="n">
        <v>46.91</v>
      </c>
      <c r="F28" s="15" t="n">
        <v>0.00010028</v>
      </c>
      <c r="G28" s="15" t="n">
        <v>5e-05</v>
      </c>
      <c r="H28" s="15" t="n">
        <v>0.00033505</v>
      </c>
      <c r="I28" s="16" t="n">
        <v>6</v>
      </c>
      <c r="L28" s="13" t="n">
        <v>8768509</v>
      </c>
      <c r="M28" s="21">
        <f>IFERROR(L28/MEDIAN(L14:L27),"")</f>
        <v/>
      </c>
      <c r="O28" s="18" t="n">
        <v>1.7046</v>
      </c>
      <c r="P28" s="18" t="n">
        <v>1.2533</v>
      </c>
      <c r="Q28" s="18" t="n">
        <v>1.6774</v>
      </c>
      <c r="R28" s="19">
        <f>IFERROR(O28/P28,"")</f>
        <v/>
      </c>
      <c r="S28" s="19">
        <f>IFERROR(AVERAGE(R26:R28),"")</f>
        <v/>
      </c>
      <c r="T28" s="19">
        <f>IFERROR(Q28/Q23,"")</f>
        <v/>
      </c>
      <c r="U28" s="20">
        <f>IFERROR(O28/O25-1,"")</f>
        <v/>
      </c>
      <c r="V28" s="20">
        <f>IFERROR(P28/P25-1,"")</f>
        <v/>
      </c>
      <c r="AA28" s="17" t="inlineStr">
        <is>
          <t>gate</t>
        </is>
      </c>
      <c r="AB28" t="n">
        <v>13320.92</v>
      </c>
      <c r="AC28" t="inlineStr">
        <is>
          <t>ABSTAIN</t>
        </is>
      </c>
      <c r="AJ28" s="14">
        <f>IF(OR(AB28="",D28="",D28=0),"",AB28/D28)</f>
        <v/>
      </c>
    </row>
    <row r="29" ht="15" customHeight="1" s="24">
      <c r="A29" s="11" t="inlineStr">
        <is>
          <t>2026-07-27</t>
        </is>
      </c>
      <c r="B29" s="12" t="n">
        <v>0.001126981</v>
      </c>
      <c r="C29" s="20">
        <f>IFERROR(B29/B28-1,"")</f>
        <v/>
      </c>
      <c r="D29" s="13" t="n">
        <v>26056287</v>
      </c>
      <c r="E29" s="14" t="n">
        <v>50.31</v>
      </c>
      <c r="F29" s="15" t="n">
        <v>0.000408</v>
      </c>
      <c r="G29" s="15" t="n">
        <v>5e-05</v>
      </c>
      <c r="H29" s="15" t="n">
        <v>0.000624</v>
      </c>
      <c r="I29" s="16" t="n">
        <v>6</v>
      </c>
      <c r="L29" s="13" t="n">
        <v>9131932</v>
      </c>
      <c r="M29" s="21">
        <f>IFERROR(L29/MEDIAN(L15:L28),"")</f>
        <v/>
      </c>
      <c r="O29" s="18" t="n">
        <v>1.3507</v>
      </c>
      <c r="P29" s="18" t="n">
        <v>1.2563</v>
      </c>
      <c r="Q29" s="18" t="n">
        <v>1.7071</v>
      </c>
      <c r="R29" s="19">
        <f>IFERROR(O29/P29,"")</f>
        <v/>
      </c>
      <c r="S29" s="19">
        <f>IFERROR(AVERAGE(R27:R29),"")</f>
        <v/>
      </c>
      <c r="T29" s="19">
        <f>IFERROR(Q29/Q24,"")</f>
        <v/>
      </c>
      <c r="U29" s="20">
        <f>IFERROR(O29/O26-1,"")</f>
        <v/>
      </c>
      <c r="V29" s="20">
        <f>IFERROR(P29/P26-1,"")</f>
        <v/>
      </c>
      <c r="AA29" s="17" t="inlineStr">
        <is>
          <t>gate</t>
        </is>
      </c>
      <c r="AB29" t="n">
        <v>188181.59</v>
      </c>
      <c r="AC29" t="inlineStr">
        <is>
          <t>ABSTAIN</t>
        </is>
      </c>
      <c r="AJ29" s="14">
        <f>IF(OR(AB29="",D29="",D29=0),"",AB29/D29)</f>
        <v/>
      </c>
      <c r="AL29" s="17" t="inlineStr">
        <is>
          <t>2 vi -&gt;0x34828d 17M consolidate; rut Gate ~$26M/48h (26-28)</t>
        </is>
      </c>
      <c r="AN29" s="17" t="inlineStr">
        <is>
          <t>pos round-trip 1.74-&gt;1.35; hom sau hoi 1.59</t>
        </is>
      </c>
    </row>
    <row r="30" ht="15" customHeight="1" s="24">
      <c r="A30" s="11" t="inlineStr">
        <is>
          <t>2026-07-28</t>
        </is>
      </c>
      <c r="B30" s="12" t="n">
        <v>0.0013</v>
      </c>
      <c r="C30" s="20">
        <f>IFERROR(B30/B29-1,"")</f>
        <v/>
      </c>
      <c r="D30" s="13" t="n">
        <v>11878709</v>
      </c>
      <c r="E30" s="14" t="n">
        <v>49.9</v>
      </c>
      <c r="F30" s="15" t="n">
        <v>0.000179</v>
      </c>
      <c r="G30" s="15" t="n">
        <v>5.3e-05</v>
      </c>
      <c r="H30" s="15" t="n">
        <v>0.000314</v>
      </c>
      <c r="I30" s="16" t="n">
        <v>6</v>
      </c>
      <c r="L30" s="13" t="n">
        <v>12188951</v>
      </c>
      <c r="M30" s="21">
        <f>IFERROR(L30/MEDIAN(L16:L29),"")</f>
        <v/>
      </c>
      <c r="O30" s="18" t="n">
        <v>1.5947</v>
      </c>
      <c r="P30" s="18" t="n">
        <v>0.9988</v>
      </c>
      <c r="Q30" s="18" t="n">
        <v>1.2978</v>
      </c>
      <c r="R30" s="19">
        <f>IFERROR(O30/P30,"")</f>
        <v/>
      </c>
      <c r="S30" s="19">
        <f>IFERROR(AVERAGE(R28:R30),"")</f>
        <v/>
      </c>
      <c r="T30" s="19">
        <f>IFERROR(Q30/Q25,"")</f>
        <v/>
      </c>
      <c r="U30" s="20">
        <f>IFERROR(O30/O27-1,"")</f>
        <v/>
      </c>
      <c r="V30" s="20">
        <f>IFERROR(P30/P27-1,"")</f>
        <v/>
      </c>
      <c r="W30" s="17" t="inlineStr">
        <is>
          <t>stealth_grind (margin mong: OI +4% nguong, breakout 14.6% vs 9%)</t>
        </is>
      </c>
      <c r="AA30" s="17" t="inlineStr">
        <is>
          <t>gate</t>
        </is>
      </c>
      <c r="AB30" s="13" t="n">
        <v>33599</v>
      </c>
      <c r="AC30" t="inlineStr">
        <is>
          <t>ABSTAIN</t>
        </is>
      </c>
      <c r="AD30" s="13" t="n">
        <v>2574</v>
      </c>
      <c r="AE30" s="13" t="n">
        <v>1233</v>
      </c>
      <c r="AJ30" s="14">
        <f>IF(OR(AB30="",D30="",D30=0),"",AB30/D30)</f>
        <v/>
      </c>
    </row>
    <row r="31">
      <c r="A31" t="inlineStr">
        <is>
          <t>2026-07-29</t>
        </is>
      </c>
      <c r="B31" t="n">
        <v>0.0012062939955486</v>
      </c>
      <c r="C31">
        <f>IFERROR(B31/B30-1,"")</f>
        <v/>
      </c>
      <c r="D31" t="n">
        <v>5492814.645206</v>
      </c>
      <c r="E31" t="n">
        <v>49.492399</v>
      </c>
      <c r="F31" t="n">
        <v>0.0001000233333333</v>
      </c>
      <c r="G31" t="n">
        <v>5e-05</v>
      </c>
      <c r="H31" t="n">
        <v>0.00025995</v>
      </c>
      <c r="I31" t="n">
        <v>6</v>
      </c>
      <c r="L31" t="n">
        <v>11172261.42025188</v>
      </c>
      <c r="O31" t="n">
        <v>1.6204</v>
      </c>
      <c r="P31" t="n">
        <v>1.3719</v>
      </c>
      <c r="Q31" t="n">
        <v>1.8129</v>
      </c>
      <c r="R31">
        <f>IFERROR(O31/P31,"")</f>
        <v/>
      </c>
      <c r="S31">
        <f>IFERROR(AVERAGE(R29:R31),"")</f>
        <v/>
      </c>
      <c r="T31">
        <f>IFERROR(Q31/Q26,"")</f>
        <v/>
      </c>
      <c r="U31">
        <f>IFERROR(O31/O28-1,"")</f>
        <v/>
      </c>
      <c r="V31">
        <f>IFERROR(P31/P28-1,"")</f>
        <v/>
      </c>
      <c r="AA31" t="inlineStr">
        <is>
          <t>binance_alpha</t>
        </is>
      </c>
      <c r="AB31" t="n">
        <v>47219.52</v>
      </c>
      <c r="AC31" t="inlineStr">
        <is>
          <t>ABSTAIN</t>
        </is>
      </c>
      <c r="AJ31">
        <f>IF(OR(AB31="",D31="",D31=0),"",AB31/D31)</f>
        <v/>
      </c>
    </row>
    <row r="32" ht="15" customHeight="1" s="24">
      <c r="A32" s="7" t="inlineStr">
        <is>
          <t>2026-07-30</t>
        </is>
      </c>
      <c r="B32" t="n">
        <v>0.0010992966649597</v>
      </c>
      <c r="C32">
        <f>IFERROR(B32/B31-1,"")</f>
        <v/>
      </c>
      <c r="D32" t="n">
        <v>3484443.358583</v>
      </c>
      <c r="E32" t="n">
        <v>49.08091</v>
      </c>
      <c r="F32" t="n">
        <v>5e-05</v>
      </c>
      <c r="G32" t="n">
        <v>5e-05</v>
      </c>
      <c r="H32" t="n">
        <v>5e-05</v>
      </c>
      <c r="I32" t="n">
        <v>6</v>
      </c>
      <c r="J32" t="inlineStr">
        <is>
          <t>PINNED</t>
        </is>
      </c>
      <c r="L32" t="n">
        <v>9658576.732218999</v>
      </c>
      <c r="O32" t="n">
        <v>1.6632</v>
      </c>
      <c r="P32" t="n">
        <v>1.5316</v>
      </c>
      <c r="Q32" t="n">
        <v>1.9958</v>
      </c>
      <c r="R32">
        <f>IFERROR(O32/P32,"")</f>
        <v/>
      </c>
      <c r="S32">
        <f>IFERROR(AVERAGE(R30:R32),"")</f>
        <v/>
      </c>
      <c r="T32">
        <f>IFERROR(Q32/Q27,"")</f>
        <v/>
      </c>
      <c r="U32">
        <f>IFERROR(O32/O29-1,"")</f>
        <v/>
      </c>
      <c r="V32">
        <f>IFERROR(P32/P29-1,"")</f>
        <v/>
      </c>
      <c r="AA32" t="inlineStr">
        <is>
          <t>binance_alpha</t>
        </is>
      </c>
      <c r="AB32" t="n">
        <v>26797.74</v>
      </c>
      <c r="AC32" t="inlineStr">
        <is>
          <t>ABSTAIN</t>
        </is>
      </c>
      <c r="AJ32">
        <f>IF(OR(AB32="",D32="",D32=0),"",AB32/D32)</f>
        <v/>
      </c>
    </row>
    <row r="33">
      <c r="A33" t="inlineStr">
        <is>
          <t>2026-07-31</t>
        </is>
      </c>
      <c r="B33" t="n">
        <v>0.001355734069612156</v>
      </c>
      <c r="C33">
        <f>IFERROR(B33/B32-1,"")</f>
        <v/>
      </c>
      <c r="D33" t="n">
        <v>20833007.401828</v>
      </c>
      <c r="E33" t="n">
        <v>50.107269</v>
      </c>
      <c r="F33" t="n">
        <v>0.0001649366666666667</v>
      </c>
      <c r="G33" t="n">
        <v>5e-05</v>
      </c>
      <c r="H33" t="n">
        <v>0.00046994</v>
      </c>
      <c r="I33" t="n">
        <v>6</v>
      </c>
      <c r="L33" t="n">
        <v>9375186.135129569</v>
      </c>
      <c r="O33" t="n">
        <v>1.6811</v>
      </c>
      <c r="P33" t="n">
        <v>1.4795</v>
      </c>
      <c r="Q33" t="n">
        <v>1.9223</v>
      </c>
      <c r="R33">
        <f>IFERROR(O33/P33,"")</f>
        <v/>
      </c>
      <c r="S33">
        <f>IFERROR(AVERAGE(R31:R33),"")</f>
        <v/>
      </c>
      <c r="T33">
        <f>IFERROR(Q33/Q28,"")</f>
        <v/>
      </c>
      <c r="U33">
        <f>IFERROR(O33/O30-1,"")</f>
        <v/>
      </c>
      <c r="V33">
        <f>IFERROR(P33/P30-1,"")</f>
        <v/>
      </c>
      <c r="AA33" t="inlineStr">
        <is>
          <t>binance_alpha</t>
        </is>
      </c>
      <c r="AB33" t="n">
        <v>90721.38</v>
      </c>
      <c r="AC33" t="inlineStr">
        <is>
          <t>ABSTAIN</t>
        </is>
      </c>
      <c r="AJ33">
        <f>IF(OR(AB33="",D33="",D33=0),"",AB33/D33)</f>
        <v/>
      </c>
    </row>
    <row r="34">
      <c r="A34" t="inlineStr">
        <is>
          <t>2026-08-01</t>
        </is>
      </c>
      <c r="B34" t="n">
        <v>0.001387312420744</v>
      </c>
      <c r="C34">
        <f>IFERROR(B34/B33-1,"")</f>
        <v/>
      </c>
      <c r="D34" t="n">
        <v>14173987.853918</v>
      </c>
      <c r="E34" t="n">
        <v>51.326357</v>
      </c>
      <c r="F34" t="n">
        <v>0.0002554233333333</v>
      </c>
      <c r="G34" t="n">
        <v>5e-05</v>
      </c>
      <c r="H34" t="n">
        <v>0.00056037</v>
      </c>
      <c r="I34" t="n">
        <v>6</v>
      </c>
      <c r="L34" t="n">
        <v>12570735.627408</v>
      </c>
      <c r="M34">
        <f>IFERROR(L34/MEDIAN(L20:L33),"")</f>
        <v/>
      </c>
      <c r="O34" t="n">
        <v>1.5905</v>
      </c>
      <c r="P34" t="n">
        <v>1.2753</v>
      </c>
      <c r="Q34" t="n">
        <v>1.6157</v>
      </c>
      <c r="R34">
        <f>IFERROR(O34/P34,"")</f>
        <v/>
      </c>
      <c r="S34">
        <f>IFERROR(AVERAGE(R32:R34),"")</f>
        <v/>
      </c>
      <c r="T34">
        <f>IFERROR(Q34/Q29,"")</f>
        <v/>
      </c>
      <c r="U34">
        <f>IFERROR(O34/O31-1,"")</f>
        <v/>
      </c>
      <c r="V34">
        <f>IFERROR(P34/P31-1,"")</f>
        <v/>
      </c>
      <c r="AA34" t="inlineStr">
        <is>
          <t>binance_alpha</t>
        </is>
      </c>
      <c r="AB34" t="n">
        <v>73042.56</v>
      </c>
      <c r="AC34" t="inlineStr">
        <is>
          <t>ABSTAIN</t>
        </is>
      </c>
      <c r="AJ34">
        <f>IF(OR(AB34="",AB34=0,D34="",D34=0),"",AB34/D34)</f>
        <v/>
      </c>
    </row>
    <row r="35">
      <c r="A35" t="inlineStr">
        <is>
          <t>2026-08-02</t>
        </is>
      </c>
      <c r="B35" t="n">
        <v>0.0013870979357402</v>
      </c>
      <c r="C35">
        <f>IFERROR(B35/B34-1,"")</f>
        <v/>
      </c>
      <c r="D35" t="n">
        <v>8050293.311166001</v>
      </c>
      <c r="E35" t="n">
        <v>46.901715</v>
      </c>
      <c r="F35" t="n">
        <v>0.000104545</v>
      </c>
      <c r="G35" t="n">
        <v>5e-05</v>
      </c>
      <c r="H35" t="n">
        <v>0.00027156</v>
      </c>
      <c r="I35" t="n">
        <v>6</v>
      </c>
      <c r="L35" t="n">
        <v>13201306.884897</v>
      </c>
      <c r="M35">
        <f>IFERROR(L35/MEDIAN(L21:L34),"")</f>
        <v/>
      </c>
      <c r="O35" t="n">
        <v>1.2863</v>
      </c>
      <c r="P35" t="n">
        <v>1.5981</v>
      </c>
      <c r="Q35" t="n">
        <v>1.956</v>
      </c>
      <c r="R35">
        <f>IFERROR(O35/P35,"")</f>
        <v/>
      </c>
      <c r="S35">
        <f>IFERROR(AVERAGE(R33:R35),"")</f>
        <v/>
      </c>
      <c r="T35">
        <f>IFERROR(Q35/Q30,"")</f>
        <v/>
      </c>
      <c r="U35">
        <f>IFERROR(O35/O32-1,"")</f>
        <v/>
      </c>
      <c r="V35">
        <f>IFERROR(P35/P32-1,"")</f>
        <v/>
      </c>
      <c r="AA35" t="inlineStr">
        <is>
          <t>binance_alpha</t>
        </is>
      </c>
      <c r="AB35" t="n">
        <v>85610.19</v>
      </c>
      <c r="AC35" t="inlineStr">
        <is>
          <t>ABSTAIN</t>
        </is>
      </c>
      <c r="AJ35">
        <f>IF(OR(AB35="",AB35=0,D35="",D35=0),"",AB35/D35)</f>
        <v/>
      </c>
    </row>
    <row r="36">
      <c r="A36" t="inlineStr">
        <is>
          <t>2026-08-03</t>
        </is>
      </c>
      <c r="B36" t="n">
        <v>0.001259841794361022</v>
      </c>
      <c r="C36">
        <f>IFERROR(B36/B35-1,"")</f>
        <v/>
      </c>
      <c r="D36" t="n">
        <v>4779652.221457</v>
      </c>
      <c r="E36" t="n">
        <v>47.287966</v>
      </c>
      <c r="F36" t="n">
        <v>5e-05</v>
      </c>
      <c r="G36" t="n">
        <v>5e-05</v>
      </c>
      <c r="H36" t="n">
        <v>5e-05</v>
      </c>
      <c r="I36" t="n">
        <v>6</v>
      </c>
      <c r="J36" t="inlineStr">
        <is>
          <t>PINNED</t>
        </is>
      </c>
      <c r="L36" t="n">
        <v>11828955.093356</v>
      </c>
      <c r="M36">
        <f>IFERROR(L36/MEDIAN(L22:L35),"")</f>
        <v/>
      </c>
      <c r="O36" t="n">
        <v>1.3504</v>
      </c>
      <c r="P36" t="n">
        <v>1.7367</v>
      </c>
      <c r="Q36" t="n">
        <v>2.0665</v>
      </c>
      <c r="R36">
        <f>IFERROR(O36/P36,"")</f>
        <v/>
      </c>
      <c r="S36">
        <f>IFERROR(AVERAGE(R34:R36),"")</f>
        <v/>
      </c>
      <c r="T36">
        <f>IFERROR(Q36/Q31,"")</f>
        <v/>
      </c>
      <c r="U36">
        <f>IFERROR(O36/O33-1,"")</f>
        <v/>
      </c>
      <c r="V36">
        <f>IFERROR(P36/P33-1,"")</f>
        <v/>
      </c>
      <c r="AA36" t="inlineStr">
        <is>
          <t>binance_alpha</t>
        </is>
      </c>
      <c r="AB36" t="n">
        <v>66713.63</v>
      </c>
      <c r="AC36" t="inlineStr">
        <is>
          <t>ABSTAIN</t>
        </is>
      </c>
      <c r="AJ36">
        <f>IF(OR(AB36="",AB36=0,D36="",D36=0),"",AB36/D36)</f>
        <v/>
      </c>
    </row>
    <row r="37">
      <c r="A37" t="inlineStr">
        <is>
          <t>2026-08-05</t>
        </is>
      </c>
      <c r="B37" t="n">
        <v>0.001245360067195753</v>
      </c>
      <c r="C37">
        <f>IFERROR(B37/B36-1,"")</f>
        <v/>
      </c>
      <c r="D37" t="n">
        <v>3004873.857725</v>
      </c>
      <c r="E37" t="n">
        <v>0.5067330932767721</v>
      </c>
      <c r="F37" t="n">
        <v>5e-05</v>
      </c>
      <c r="G37" t="n">
        <v>5e-05</v>
      </c>
      <c r="H37" t="n">
        <v>5e-05</v>
      </c>
      <c r="I37" t="n">
        <v>6</v>
      </c>
      <c r="L37" t="n">
        <v>9602960.801972801</v>
      </c>
      <c r="O37" t="n">
        <v>1.345</v>
      </c>
      <c r="P37" t="n">
        <v>1.4594</v>
      </c>
      <c r="Q37" t="n">
        <v>1.867</v>
      </c>
      <c r="R37">
        <f>IFERROR(O37/P37,"")</f>
        <v/>
      </c>
      <c r="S37">
        <f>IFERROR(AVERAGE(R35:R37),"")</f>
        <v/>
      </c>
      <c r="T37">
        <f>IFERROR(Q37/Q32,"")</f>
        <v/>
      </c>
      <c r="U37">
        <f>IFERROR(O37/O34-1,"")</f>
        <v/>
      </c>
      <c r="V37">
        <f>IFERROR(P37/P34-1,"")</f>
        <v/>
      </c>
      <c r="AJ37">
        <f>IF(OR(AB37="",D37="",D37=0),"",AB37/D37)</f>
        <v/>
      </c>
    </row>
  </sheetData>
  <mergeCells count="4">
    <mergeCell ref="A1:Z1"/>
    <mergeCell ref="AA1:AJ1"/>
    <mergeCell ref="AK1:AM1"/>
    <mergeCell ref="AN1:AO1"/>
  </mergeCell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11" customWidth="1" style="24" min="1" max="1"/>
    <col width="60" customWidth="1" style="24" min="2" max="2"/>
    <col width="18" customWidth="1" style="24" min="3" max="3"/>
    <col width="45" customWidth="1" style="24" min="4" max="4"/>
  </cols>
  <sheetData>
    <row r="1" ht="16.2" customHeight="1" s="24">
      <c r="A1" s="1" t="inlineStr">
        <is>
          <t>D. NHAT KY DIEN BIEN (append-only, moi nhat duoi cung)</t>
        </is>
      </c>
    </row>
    <row r="3" ht="15" customHeight="1" s="24">
      <c r="A3" s="22" t="inlineStr">
        <is>
          <t>ngay</t>
        </is>
      </c>
      <c r="B3" s="22" t="inlineStr">
        <is>
          <t>su_kien_so_lieu</t>
        </is>
      </c>
      <c r="C3" s="22" t="inlineStr">
        <is>
          <t>nguon</t>
        </is>
      </c>
      <c r="D3" s="22" t="inlineStr">
        <is>
          <t>doc_nhanh</t>
        </is>
      </c>
    </row>
    <row r="4" ht="15" customHeight="1" s="24">
      <c r="A4" s="4" t="inlineStr">
        <is>
          <t>07-08/09</t>
        </is>
      </c>
      <c r="B4" s="4" t="inlineStr">
        <is>
          <t>flash crash -25% + vol $449M; gLSR 2.1-&gt;0.62</t>
        </is>
      </c>
      <c r="C4" s="4" t="inlineStr">
        <is>
          <t>calib</t>
        </is>
      </c>
      <c r="D4" s="4" t="inlineStr">
        <is>
          <t>wash-by-crash</t>
        </is>
      </c>
    </row>
    <row r="5" ht="15" customHeight="1" s="24">
      <c r="A5" s="4" t="inlineStr">
        <is>
          <t>07-13/16</t>
        </is>
      </c>
      <c r="B5" s="4" t="inlineStr">
        <is>
          <t>7% supply -&gt; 5 vi moi, hold</t>
        </is>
      </c>
      <c r="C5" s="4" t="inlineStr">
        <is>
          <t>BscScan</t>
        </is>
      </c>
      <c r="D5" s="4" t="inlineStr">
        <is>
          <t>staging cluster</t>
        </is>
      </c>
    </row>
    <row r="6" ht="15" customHeight="1" s="24">
      <c r="A6" s="4" t="inlineStr">
        <is>
          <t>07-27</t>
        </is>
      </c>
      <c r="B6" s="4" t="inlineStr">
        <is>
          <t>2 manh chet (pos 1.74-&gt;1.35, gLSR 1.71) -&gt; ha ARMED-&gt;WATCH</t>
        </is>
      </c>
      <c r="C6" s="4" t="inlineStr">
        <is>
          <t>Prompt D + phan</t>
        </is>
      </c>
      <c r="D6" s="4" t="inlineStr">
        <is>
          <t>structure_decay, khong phai invalidation</t>
        </is>
      </c>
    </row>
    <row r="7" ht="15" customHeight="1" s="24">
      <c r="A7" s="4" t="inlineStr">
        <is>
          <t>07-26/28</t>
        </is>
      </c>
      <c r="B7" s="4" t="inlineStr">
        <is>
          <t>17M consolidate + ~$26M rut Gate (2 vi van tay doi)</t>
        </is>
      </c>
      <c r="C7" s="4" t="inlineStr">
        <is>
          <t>BscScan tay</t>
        </is>
      </c>
      <c r="D7" s="4" t="inlineStr">
        <is>
          <t>tai kich hoat an; nghi double-count txhash PENDING</t>
        </is>
      </c>
    </row>
    <row r="8" ht="15" customHeight="1" s="24">
      <c r="A8" s="4" t="inlineStr">
        <is>
          <t>07-28</t>
        </is>
      </c>
      <c r="B8" s="4" t="inlineStr">
        <is>
          <t>stealth_grind ban margin mong; gLSR 1.30; pos 1.595</t>
        </is>
      </c>
      <c r="C8" s="4" t="inlineStr">
        <is>
          <t>export+audit P1</t>
        </is>
      </c>
      <c r="D8" s="4" t="inlineStr">
        <is>
          <t>1 tell + wash dang chay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4" customWidth="1" style="24" min="1" max="1"/>
    <col width="22" customWidth="1" style="24" min="2" max="2"/>
    <col width="44" customWidth="1" style="24" min="3" max="3"/>
    <col width="40" customWidth="1" style="24" min="4" max="4"/>
    <col width="22" customWidth="1" style="24" min="5" max="5"/>
  </cols>
  <sheetData>
    <row r="1" ht="16.2" customHeight="1" s="24">
      <c r="A1" s="1" t="inlineStr">
        <is>
          <t>C. CHOT THEO DOI — doc moi ngay sau nen dong</t>
        </is>
      </c>
    </row>
    <row r="3" ht="15" customHeight="1" s="24">
      <c r="A3" s="22" t="inlineStr">
        <is>
          <t>#</t>
        </is>
      </c>
      <c r="B3" s="22" t="inlineStr">
        <is>
          <t>chot</t>
        </is>
      </c>
      <c r="C3" s="22" t="inlineStr">
        <is>
          <t>dieu_kien</t>
        </is>
      </c>
      <c r="D3" s="22" t="inlineStr">
        <is>
          <t>nghia_khi_bat</t>
        </is>
      </c>
      <c r="E3" s="22" t="inlineStr">
        <is>
          <t>trang_thai_hom_nay</t>
        </is>
      </c>
    </row>
    <row r="4" ht="15" customHeight="1" s="24">
      <c r="A4" s="4" t="inlineStr">
        <is>
          <t>1</t>
        </is>
      </c>
      <c r="B4" s="4" t="inlineStr">
        <is>
          <t>Cau truc hoi</t>
        </is>
      </c>
      <c r="C4" s="4" t="inlineStr">
        <is>
          <t>div_avg3 &gt;=1.5 tren chuoi nen dong</t>
        </is>
      </c>
      <c r="D4" s="4" t="inlineStr">
        <is>
          <t>manh song #1 -&gt; ho so tai-ARM</t>
        </is>
      </c>
      <c r="E4" s="5" t="inlineStr">
        <is>
          <t>PENDING</t>
        </is>
      </c>
    </row>
    <row r="5" ht="15" customHeight="1" s="24">
      <c r="A5" s="4" t="inlineStr">
        <is>
          <t>2</t>
        </is>
      </c>
      <c r="B5" s="4" t="inlineStr">
        <is>
          <t>Nhien lieu</t>
        </is>
      </c>
      <c r="C5" s="4" t="inlineStr">
        <is>
          <t>gLSR &lt;=1.1</t>
        </is>
      </c>
      <c r="D5" s="4" t="inlineStr">
        <is>
          <t>crowd rua xong -&gt; manh song #2</t>
        </is>
      </c>
      <c r="E5" s="5" t="inlineStr">
        <is>
          <t>dang rua (1.30)</t>
        </is>
      </c>
    </row>
    <row r="6" ht="15" customHeight="1" s="24">
      <c r="A6" s="4" t="inlineStr">
        <is>
          <t>3</t>
        </is>
      </c>
      <c r="B6" s="4" t="inlineStr">
        <is>
          <t>On-chain</t>
        </is>
      </c>
      <c r="C6" s="4" t="inlineStr">
        <is>
          <t>tx moi tu cum 6 vi</t>
        </is>
      </c>
      <c r="D6" s="4" t="inlineStr">
        <is>
          <t>redeposit=INVALIDATE · rut them=accelerant</t>
        </is>
      </c>
      <c r="E6" s="5" t="inlineStr">
        <is>
          <t>hold nguyen</t>
        </is>
      </c>
    </row>
    <row r="7" ht="15" customHeight="1" s="24">
      <c r="A7" s="4" t="inlineStr">
        <is>
          <t>4</t>
        </is>
      </c>
      <c r="B7" s="4" t="inlineStr">
        <is>
          <t>OI</t>
        </is>
      </c>
      <c r="C7" s="4" t="inlineStr">
        <is>
          <t>giu &gt;=12M hay xep</t>
        </is>
      </c>
      <c r="D7" s="4" t="inlineStr">
        <is>
          <t>stealth that hay fake-out</t>
        </is>
      </c>
      <c r="E7" s="5" t="inlineStr">
        <is>
          <t>12.19M — canh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7"/>
  <sheetViews>
    <sheetView zoomScaleNormal="100" workbookViewId="0">
      <pane ySplit="3" topLeftCell="A4" activePane="bottomLeft" state="frozen"/>
      <selection pane="bottomLeft" activeCell="A1" sqref="A1"/>
    </sheetView>
  </sheetViews>
  <sheetFormatPr baseColWidth="8" defaultColWidth="8.6640625" defaultRowHeight="14.4"/>
  <cols>
    <col width="7" customWidth="1" style="24" min="1" max="1"/>
    <col width="11" customWidth="1" style="24" min="2" max="2"/>
    <col width="12" customWidth="1" style="24" min="3" max="3"/>
    <col width="9" customWidth="1" style="24" min="4" max="4"/>
    <col width="16" customWidth="1" style="24" min="5" max="5"/>
    <col width="13" customWidth="1" style="24" min="6" max="6"/>
    <col width="9" customWidth="1" style="24" min="7" max="7"/>
    <col width="42" customWidth="1" style="24" min="8" max="9"/>
  </cols>
  <sheetData>
    <row r="1" ht="16.2" customHeight="1" s="24">
      <c r="A1" s="1" t="inlineStr">
        <is>
          <t>E. OUTCOME — dien tai moc; verdict_check: verdict luc mo DUNG/SAI o diem nao</t>
        </is>
      </c>
    </row>
    <row r="3" ht="15" customHeight="1" s="24">
      <c r="A3" s="22" t="inlineStr">
        <is>
          <t>moc</t>
        </is>
      </c>
      <c r="B3" s="22" t="inlineStr">
        <is>
          <t>ngay_han</t>
        </is>
      </c>
      <c r="C3" s="22" t="inlineStr">
        <is>
          <t>px</t>
        </is>
      </c>
      <c r="D3" s="22" t="inlineStr">
        <is>
          <t>ret_pct</t>
        </is>
      </c>
      <c r="E3" s="22" t="inlineStr">
        <is>
          <t>drawup_drawdown</t>
        </is>
      </c>
      <c r="F3" s="22" t="inlineStr">
        <is>
          <t>oi_usd</t>
        </is>
      </c>
      <c r="G3" s="22" t="inlineStr">
        <is>
          <t>gLSR</t>
        </is>
      </c>
      <c r="H3" s="22" t="inlineStr">
        <is>
          <t>dien_bien</t>
        </is>
      </c>
      <c r="I3" s="22" t="inlineStr">
        <is>
          <t>verdict_check</t>
        </is>
      </c>
    </row>
    <row r="4" ht="15" customHeight="1" s="24">
      <c r="A4" s="4" t="inlineStr">
        <is>
          <t>T+7</t>
        </is>
      </c>
      <c r="B4" s="4" t="inlineStr">
        <is>
          <t>2026-08-04</t>
        </is>
      </c>
      <c r="C4" s="5" t="n"/>
      <c r="D4" s="5" t="n"/>
      <c r="E4" s="5" t="n"/>
      <c r="F4" s="5" t="n"/>
      <c r="G4" s="5" t="n"/>
      <c r="H4" s="5" t="n"/>
      <c r="I4" s="5" t="n"/>
    </row>
    <row r="5" ht="15" customHeight="1" s="24">
      <c r="A5" s="4" t="inlineStr">
        <is>
          <t>T+14</t>
        </is>
      </c>
      <c r="B5" s="4" t="inlineStr">
        <is>
          <t>2026-08-11</t>
        </is>
      </c>
      <c r="C5" s="5" t="n"/>
      <c r="D5" s="5" t="n"/>
      <c r="E5" s="5" t="n"/>
      <c r="F5" s="5" t="n"/>
      <c r="G5" s="5" t="n"/>
      <c r="H5" s="5" t="n"/>
      <c r="I5" s="5" t="n"/>
    </row>
    <row r="6" ht="15" customHeight="1" s="24">
      <c r="A6" s="4" t="inlineStr">
        <is>
          <t>T+30</t>
        </is>
      </c>
      <c r="B6" s="4" t="inlineStr">
        <is>
          <t>2026-08-27</t>
        </is>
      </c>
      <c r="C6" s="5" t="n"/>
      <c r="D6" s="5" t="n"/>
      <c r="E6" s="5" t="n"/>
      <c r="F6" s="5" t="n"/>
      <c r="G6" s="5" t="n"/>
      <c r="H6" s="5" t="n"/>
      <c r="I6" s="5" t="n"/>
    </row>
    <row r="7" ht="15" customHeight="1" s="24">
      <c r="A7" s="4" t="inlineStr">
        <is>
          <t>T+60</t>
        </is>
      </c>
      <c r="B7" s="4" t="inlineStr">
        <is>
          <t>2026-09-26</t>
        </is>
      </c>
      <c r="C7" s="5" t="n"/>
      <c r="D7" s="5" t="n"/>
      <c r="E7" s="5" t="n"/>
      <c r="F7" s="5" t="n"/>
      <c r="G7" s="5" t="n"/>
      <c r="H7" s="5" t="n"/>
      <c r="I7" s="5" t="n"/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1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style="24" min="1" max="1"/>
    <col width="95" customWidth="1" style="24" min="2" max="2"/>
  </cols>
  <sheetData>
    <row r="1" ht="16.2" customHeight="1" s="24">
      <c r="A1" s="1" t="inlineStr">
        <is>
          <t>I. MM / OPERATOR PROFILE — van tay hanh vi (moi MM danh mot kieu)</t>
        </is>
      </c>
    </row>
    <row r="3" ht="15" customHeight="1" s="24">
      <c r="A3" s="3" t="inlineStr">
        <is>
          <t>MM cong bo / nghi van</t>
        </is>
      </c>
      <c r="B3" s="4" t="inlineStr">
        <is>
          <t>unknown</t>
        </is>
      </c>
    </row>
    <row r="4" ht="15" customHeight="1" s="24">
      <c r="A4" s="3" t="inlineStr">
        <is>
          <t>MM_ID</t>
        </is>
      </c>
      <c r="B4" s="4" t="inlineStr">
        <is>
          <t>unknown — chua du 3 van tay de gan (nghi ho bid-walk nhung ky thuat moi khac BANK)</t>
        </is>
      </c>
    </row>
    <row r="5" ht="15" customHeight="1" s="24">
      <c r="A5" s="3" t="inlineStr">
        <is>
          <t>Van tay funding</t>
        </is>
      </c>
      <c r="B5" s="4" t="inlineStr">
        <is>
          <t>pin xuyen bao (thang truoc) -&gt; tha noi tu 17/07</t>
        </is>
      </c>
    </row>
    <row r="6" ht="15" customHeight="1" s="24">
      <c r="A6" s="3" t="inlineStr">
        <is>
          <t>Van tay markup</t>
        </is>
      </c>
      <c r="B6" s="4" t="inlineStr">
        <is>
          <t>bid-walk (taker&lt;52% suot); leg nay se lo them</t>
        </is>
      </c>
    </row>
    <row r="7" ht="15" customHeight="1" s="24">
      <c r="A7" s="3" t="inlineStr">
        <is>
          <t>Ky thuat quan crowd</t>
        </is>
      </c>
      <c r="B7" s="4" t="inlineStr">
        <is>
          <t>wash-by-crash (08-09/07) + wash-by-rally (27-28/07)</t>
        </is>
      </c>
    </row>
    <row r="8" ht="15" customHeight="1" s="24">
      <c r="A8" s="3" t="inlineStr">
        <is>
          <t>Ky thuat moi on-chain</t>
        </is>
      </c>
      <c r="B8" s="4" t="inlineStr">
        <is>
          <t>staging that (5 vi hold) — KHAC bait; nhung inventory Gate co lich su Bitget (an cu 98.7%)</t>
        </is>
      </c>
    </row>
    <row r="9" ht="15" customHeight="1" s="24">
      <c r="A9" s="3" t="inlineStr">
        <is>
          <t>Venue</t>
        </is>
      </c>
      <c r="B9" s="4" t="inlineStr">
        <is>
          <t>Binance perp chinh; Gate = bai do inventory</t>
        </is>
      </c>
    </row>
    <row r="10" ht="15" customHeight="1" s="24">
      <c r="A10" s="3" t="inlineStr">
        <is>
          <t>Cross-campaign</t>
        </is>
      </c>
      <c r="B10" s="5" t="inlineStr">
        <is>
          <t>PENDING — so dia chi cum 6 vao watcher</t>
        </is>
      </c>
    </row>
    <row r="11" ht="15" customHeight="1" s="24">
      <c r="A11" s="3" t="inlineStr">
        <is>
          <t>Ung xu voi minh</t>
        </is>
      </c>
      <c r="B11" s="5" t="inlineStr">
        <is>
          <t>PENDING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8"/>
  <sheetViews>
    <sheetView zoomScaleNormal="100" workbookViewId="0">
      <selection activeCell="A1" sqref="A1"/>
    </sheetView>
  </sheetViews>
  <sheetFormatPr baseColWidth="8" defaultColWidth="8.6640625" defaultRowHeight="14.4"/>
  <cols>
    <col width="28" customWidth="1" style="24" min="1" max="1"/>
    <col width="95" customWidth="1" style="24" min="2" max="2"/>
  </cols>
  <sheetData>
    <row r="1" ht="16.2" customHeight="1" s="24">
      <c r="A1" s="1" t="inlineStr">
        <is>
          <t>J. TOKENOMICS / UNLOCK — dong cung co lich, MM danh quanh no</t>
        </is>
      </c>
    </row>
    <row r="3" ht="15" customHeight="1" s="24">
      <c r="A3" s="3" t="inlineStr">
        <is>
          <t>Circulating / Total</t>
        </is>
      </c>
      <c r="B3" s="5" t="inlineStr">
        <is>
          <t>PENDING — can supply de tinh % cua 22.77B rut ra (no cu)</t>
        </is>
      </c>
    </row>
    <row r="4" ht="15" customHeight="1" s="24">
      <c r="A4" s="3" t="inlineStr">
        <is>
          <t>Nguon tra</t>
        </is>
      </c>
      <c r="B4" s="5" t="inlineStr">
        <is>
          <t>PENDING</t>
        </is>
      </c>
    </row>
    <row r="5" ht="15" customHeight="1" s="24">
      <c r="A5" s="3" t="inlineStr">
        <is>
          <t>Unlock KE TIEP</t>
        </is>
      </c>
      <c r="B5" s="5" t="inlineStr">
        <is>
          <t>PENDING</t>
        </is>
      </c>
    </row>
    <row r="6" ht="15" customHeight="1" s="24">
      <c r="A6" s="3" t="inlineStr">
        <is>
          <t>Unlock 90 ngay toi</t>
        </is>
      </c>
      <c r="B6" s="5" t="inlineStr">
        <is>
          <t>PENDING</t>
        </is>
      </c>
    </row>
    <row r="7" ht="15" customHeight="1" s="24">
      <c r="A7" s="3" t="inlineStr">
        <is>
          <t>Cliff da qua</t>
        </is>
      </c>
      <c r="B7" s="5" t="inlineStr">
        <is>
          <t>PENDING</t>
        </is>
      </c>
    </row>
    <row r="8" ht="15" customHeight="1" s="24">
      <c r="A8" s="3" t="inlineStr">
        <is>
          <t>Doc</t>
        </is>
      </c>
      <c r="B8" s="4" t="inlineStr">
        <is>
          <t>neu co unlock lon 30-60d -&gt; kich ban keo-truoc-unlock vao bang B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2026-07-29T03:24:04Z</dcterms:created>
  <dcterms:modified xsi:type="dcterms:W3CDTF">2026-08-06T02:59:59Z</dcterms:modified>
  <cp:lastModifiedBy>Tien Bui</cp:lastModifiedBy>
  <cp:revision>0</cp:revision>
</cp:coreProperties>
</file>