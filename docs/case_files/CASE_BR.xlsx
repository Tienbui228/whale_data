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00"/>
    <numFmt numFmtId="166" formatCode="0.0"/>
    <numFmt numFmtId="167" formatCode="0.0%"/>
    <numFmt numFmtId="168" formatCode="0.00000000"/>
    <numFmt numFmtId="169" formatCode="0.000000"/>
    <numFmt numFmtId="170" formatCode="0.0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</fonts>
  <fills count="13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375623"/>
        <bgColor rgb="FF404040"/>
      </patternFill>
    </fill>
    <fill>
      <patternFill patternType="solid">
        <fgColor rgb="FF7B3F00"/>
        <bgColor rgb="FF806000"/>
      </patternFill>
    </fill>
    <fill>
      <patternFill patternType="solid">
        <fgColor rgb="FF806000"/>
        <bgColor rgb="FF7B3F00"/>
      </patternFill>
    </fill>
    <fill>
      <patternFill patternType="solid">
        <fgColor rgb="FFBF8F00"/>
        <bgColor rgb="FFFF6600"/>
      </patternFill>
    </fill>
    <fill>
      <patternFill patternType="solid">
        <fgColor rgb="FFF8CBAD"/>
        <bgColor rgb="FFFFF2CC"/>
      </patternFill>
    </fill>
    <fill>
      <patternFill patternType="solid">
        <fgColor rgb="FF404040"/>
        <bgColor rgb="FF375623"/>
      </patternFill>
    </fill>
    <fill>
      <patternFill patternType="solid">
        <fgColor rgb="00FFC000"/>
        <bgColor rgb="00FFC0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" fontId="7" fillId="9" borderId="1" applyAlignment="1" pivotButton="0" quotePrefix="0" xfId="0">
      <alignment horizontal="general" vertical="bottom"/>
    </xf>
    <xf numFmtId="166" fontId="7" fillId="9" borderId="1" applyAlignment="1" pivotButton="0" quotePrefix="0" xfId="0">
      <alignment horizontal="general" vertical="bottom"/>
    </xf>
    <xf numFmtId="49" fontId="7" fillId="9" borderId="1" applyAlignment="1" pivotButton="0" quotePrefix="0" xfId="0">
      <alignment horizontal="general" vertical="bottom"/>
    </xf>
    <xf numFmtId="167" fontId="7" fillId="9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9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/>
    </xf>
    <xf numFmtId="0" fontId="0" fillId="1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agent</author>
  </authors>
  <commentList>
    <comment ref="I67" authorId="0" shapeId="0">
      <text>
        <t>fn=1: only 1 funding snapshot for Jul29 (native_1d low_conf)</t>
      </text>
    </comment>
    <comment ref="Q67" authorId="0" shapeId="0">
      <text>
        <t>fn=1 low_conf: single 1d snapshot (native_1d). Export lsr_global_r=1.9438 matches.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3" min="1" max="1"/>
    <col width="100" customWidth="1" style="33" min="2" max="2"/>
  </cols>
  <sheetData>
    <row r="1" ht="16.15" customHeight="1" s="34">
      <c r="A1" s="35" t="inlineStr">
        <is>
          <t>CASE FILE — BR</t>
        </is>
      </c>
    </row>
    <row r="2" ht="15" customHeight="1" s="34">
      <c r="A2" s="36" t="inlineStr">
        <is>
          <t>Nguon: case_tracker v1.1 · verdict chi operator ghi · so kem nguon · PENDING khong doan</t>
        </is>
      </c>
    </row>
    <row r="4" ht="15" customHeight="1" s="34">
      <c r="A4" s="37" t="inlineStr">
        <is>
          <t>Status</t>
        </is>
      </c>
      <c r="B4" s="38" t="inlineStr">
        <is>
          <t>OPEN — STAND_ASIDE</t>
        </is>
      </c>
    </row>
    <row r="5" ht="15" customHeight="1" s="34">
      <c r="A5" s="37" t="inlineStr">
        <is>
          <t>Loai</t>
        </is>
      </c>
      <c r="B5" s="38" t="inlineStr">
        <is>
          <t>pump-to-distribute: kho 6% quay lai san, kha nang leg keo tao hype truoc khi xa</t>
        </is>
      </c>
    </row>
    <row r="6" ht="15" customHeight="1" s="34">
      <c r="A6" s="37" t="inlineStr">
        <is>
          <t>Ngay phat hien</t>
        </is>
      </c>
      <c r="B6" s="38" t="inlineStr">
        <is>
          <t>29/07 — deposit 6% supply (~$2.64M)</t>
        </is>
      </c>
    </row>
    <row r="7" ht="15" customHeight="1" s="34">
      <c r="A7" s="37" t="inlineStr">
        <is>
          <t>T0</t>
        </is>
      </c>
      <c r="B7" s="38" t="inlineStr">
        <is>
          <t>chua (T0 = ignition leg keo NEU xay ra) · px 29/07 ~0.146</t>
        </is>
      </c>
    </row>
    <row r="8" ht="15" customHeight="1" s="34">
      <c r="A8" s="37" t="inlineStr">
        <is>
          <t>action_class</t>
        </is>
      </c>
      <c r="B8" s="39" t="inlineStr">
        <is>
          <t>STAND_ASIDE — khong doc deposit thanh tin hieu long; chi xet lai khi chot 1+2 cung bat</t>
        </is>
      </c>
    </row>
    <row r="9" ht="15" customHeight="1" s="34">
      <c r="A9" s="37" t="inlineStr">
        <is>
          <t>Vi the</t>
        </is>
      </c>
      <c r="B9" s="38" t="inlineStr">
        <is>
          <t>none</t>
        </is>
      </c>
    </row>
    <row r="10" ht="15" customHeight="1" s="34">
      <c r="A10" s="37" t="inlineStr">
        <is>
          <t>Tom tat input</t>
        </is>
      </c>
      <c r="B10" s="38" t="inlineStr">
        <is>
          <t>Vong doi hang truy tron: rut Bybit/Bitget tai DINH markup ~T3/2026 (moi 'smart money gom') trong khi spot CVD gay doc -70M tu do -&gt; phan phoi 4 thang -&gt; nay redeposit · perp: px -3.3% tu dinh 30d, OI-FLOOR 16M-&gt;4.6M, div 1.1, gLSR 1.944 dang bo len, funding duong 4 thang (crowd tra phi suot duong xuong — cau hinh ESPORTS) · book khong nuot noi: 1191x depth, 45.7x vol ngay</t>
        </is>
      </c>
    </row>
    <row r="11" ht="15" customHeight="1" s="34">
      <c r="A11" s="37" t="inlineStr">
        <is>
          <t>Verdict (operator, ky 30/07)</t>
        </is>
      </c>
      <c r="B11" s="38" t="inlineStr">
        <is>
          <t>BAIT_WITHDRAWAL (pha goc T-125) -&gt; nay staging cho PLAIN_DISTRIBUTION co leg keo phia truoc. Token vao SO DEN moi-on-chain (bang chung #2 sau BTW). Khong long theo leg keo: khong co ghe big-long de di cung — long = vi tri con moi</t>
        </is>
      </c>
    </row>
    <row r="12" ht="15" customHeight="1" s="34">
      <c r="A12" s="37" t="inlineStr">
        <is>
          <t>Dieu gi chung minh SAI</t>
        </is>
      </c>
      <c r="B12" s="39" t="inlineStr">
        <is>
          <t>pos_r tang ben tai nen + gLSR duoc rua manh + pin moi xuat hien = cau truc campaign chuan hinh thanh -&gt; doc lai tu dau</t>
        </is>
      </c>
    </row>
    <row r="14" ht="39.75" customHeight="1" s="34">
      <c r="A14" s="40" t="inlineStr">
        <is>
          <t>LEGEND</t>
        </is>
      </c>
      <c r="B14" s="41" t="inlineStr">
        <is>
          <t xml:space="preserve">O vang = operator dien/quyet · Header nau vang (sheet DAILY) = cot manual · Dong to cam (DAILY) = data_bad=1, so mang sai so · Cot cong thuc (ret_1d, div, slope, oi_vs_med14, alpha) tu tinh khi may append dong moi — copy cong thuc dong tren xuong. 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O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11" customWidth="1" style="33" min="2" max="2"/>
    <col width="8" customWidth="1" style="33" min="3" max="3"/>
    <col width="13" customWidth="1" style="33" min="4" max="4"/>
    <col width="9" customWidth="1" style="33" min="5" max="5"/>
    <col width="10" customWidth="1" style="33" min="6" max="8"/>
    <col width="5" customWidth="1" style="33" min="9" max="9"/>
    <col width="12" customWidth="1" style="33" min="10" max="10"/>
    <col width="7" customWidth="1" style="33" min="11" max="11"/>
    <col width="13" customWidth="1" style="33" min="12" max="12"/>
    <col width="9" customWidth="1" style="33" min="13" max="17"/>
    <col width="8" customWidth="1" style="33" min="18" max="19"/>
    <col width="9" customWidth="1" style="33" min="20" max="20"/>
    <col width="8" customWidth="1" style="33" min="21" max="22"/>
    <col width="22" customWidth="1" style="33" min="23" max="23"/>
    <col width="16" customWidth="1" style="33" min="24" max="24"/>
    <col width="8" customWidth="1" style="33" min="25" max="25"/>
    <col width="7" customWidth="1" style="33" min="26" max="26"/>
    <col width="9" customWidth="1" style="33" min="27" max="27"/>
    <col width="12" customWidth="1" style="33" min="28" max="28"/>
    <col width="9" customWidth="1" style="33" min="29" max="29"/>
    <col width="11" customWidth="1" style="33" min="30" max="35"/>
    <col width="9" customWidth="1" style="33" min="36" max="36"/>
    <col width="14" customWidth="1" style="33" min="37" max="37"/>
    <col width="18" customWidth="1" style="33" min="38" max="38"/>
    <col width="9" customWidth="1" style="33" min="39" max="39"/>
    <col width="30" customWidth="1" style="33" min="40" max="40"/>
    <col width="22" customWidth="1" style="33" min="41" max="41"/>
  </cols>
  <sheetData>
    <row r="1" ht="15.75" customHeight="1" s="34">
      <c r="A1" s="42" t="inlineStr">
        <is>
          <t>PERP (may)</t>
        </is>
      </c>
      <c r="AA1" s="43" t="inlineStr">
        <is>
          <t>SPOT/ALPHA (may)</t>
        </is>
      </c>
      <c r="AK1" s="44" t="inlineStr">
        <is>
          <t>ON-CHAIN (ban tu dong)</t>
        </is>
      </c>
      <c r="AN1" s="45" t="inlineStr">
        <is>
          <t>MANUAL (operator)</t>
        </is>
      </c>
    </row>
    <row r="2" ht="15" customHeight="1" s="34">
      <c r="A2" s="46" t="inlineStr">
        <is>
          <t>date</t>
        </is>
      </c>
      <c r="B2" s="46" t="inlineStr">
        <is>
          <t>px_avg</t>
        </is>
      </c>
      <c r="C2" s="46" t="inlineStr">
        <is>
          <t>ret_1d</t>
        </is>
      </c>
      <c r="D2" s="46" t="inlineStr">
        <is>
          <t>vol_perp_usd</t>
        </is>
      </c>
      <c r="E2" s="46" t="inlineStr">
        <is>
          <t>taker_buy_pct</t>
        </is>
      </c>
      <c r="F2" s="46" t="inlineStr">
        <is>
          <t>f_avg</t>
        </is>
      </c>
      <c r="G2" s="46" t="inlineStr">
        <is>
          <t>f_min</t>
        </is>
      </c>
      <c r="H2" s="46" t="inlineStr">
        <is>
          <t>f_max</t>
        </is>
      </c>
      <c r="I2" s="46" t="inlineStr">
        <is>
          <t>f_n</t>
        </is>
      </c>
      <c r="J2" s="46" t="inlineStr">
        <is>
          <t>funding_regime</t>
        </is>
      </c>
      <c r="K2" s="46" t="inlineStr">
        <is>
          <t>pin_streak</t>
        </is>
      </c>
      <c r="L2" s="46" t="inlineStr">
        <is>
          <t>oi_usd</t>
        </is>
      </c>
      <c r="M2" s="46" t="inlineStr">
        <is>
          <t>oi_vs_med14</t>
        </is>
      </c>
      <c r="N2" s="46" t="inlineStr">
        <is>
          <t>oi_cycle_pos</t>
        </is>
      </c>
      <c r="O2" s="46" t="inlineStr">
        <is>
          <t>lsr_pos_r</t>
        </is>
      </c>
      <c r="P2" s="46" t="inlineStr">
        <is>
          <t>lsr_acc_r</t>
        </is>
      </c>
      <c r="Q2" s="46" t="inlineStr">
        <is>
          <t>lsr_global_r</t>
        </is>
      </c>
      <c r="R2" s="46" t="inlineStr">
        <is>
          <t>div_raw</t>
        </is>
      </c>
      <c r="S2" s="46" t="inlineStr">
        <is>
          <t>div_avg3</t>
        </is>
      </c>
      <c r="T2" s="46" t="inlineStr">
        <is>
          <t>glsr_slope_5d</t>
        </is>
      </c>
      <c r="U2" s="46" t="inlineStr">
        <is>
          <t>d_pos_3d</t>
        </is>
      </c>
      <c r="V2" s="46" t="inlineStr">
        <is>
          <t>d_acc_3d</t>
        </is>
      </c>
      <c r="W2" s="46" t="inlineStr">
        <is>
          <t>signals_bullish</t>
        </is>
      </c>
      <c r="X2" s="46" t="inlineStr">
        <is>
          <t>signals_suppress</t>
        </is>
      </c>
      <c r="Y2" s="46" t="inlineStr">
        <is>
          <t>screen_rank</t>
        </is>
      </c>
      <c r="Z2" s="46" t="inlineStr">
        <is>
          <t>data_bad</t>
        </is>
      </c>
      <c r="AA2" s="47" t="inlineStr">
        <is>
          <t>spot_venue</t>
        </is>
      </c>
      <c r="AB2" s="47" t="inlineStr">
        <is>
          <t>vol_spot_usd</t>
        </is>
      </c>
      <c r="AC2" s="47" t="inlineStr">
        <is>
          <t>taker_spot_pct</t>
        </is>
      </c>
      <c r="AD2" s="47" t="inlineStr">
        <is>
          <t>depth_bid2_usd</t>
        </is>
      </c>
      <c r="AE2" s="47" t="inlineStr">
        <is>
          <t>depth_ask2_usd</t>
        </is>
      </c>
      <c r="AF2" s="47" t="inlineStr">
        <is>
          <t>bid_wall_px</t>
        </is>
      </c>
      <c r="AG2" s="47" t="inlineStr">
        <is>
          <t>bid_wall_usd</t>
        </is>
      </c>
      <c r="AH2" s="47" t="inlineStr">
        <is>
          <t>ask_wall_px</t>
        </is>
      </c>
      <c r="AI2" s="47" t="inlineStr">
        <is>
          <t>ask_wall_usd</t>
        </is>
      </c>
      <c r="AJ2" s="47" t="inlineStr">
        <is>
          <t>alpha_suspect</t>
        </is>
      </c>
      <c r="AK2" s="48" t="inlineStr">
        <is>
          <t>exch_balance_delta</t>
        </is>
      </c>
      <c r="AL2" s="48" t="inlineStr">
        <is>
          <t>wallet_activity</t>
        </is>
      </c>
      <c r="AM2" s="48" t="inlineStr">
        <is>
          <t>dominance_pct</t>
        </is>
      </c>
      <c r="AN2" s="48" t="inlineStr">
        <is>
          <t>note_operator</t>
        </is>
      </c>
      <c r="AO2" s="48" t="inlineStr">
        <is>
          <t>mm_note</t>
        </is>
      </c>
    </row>
    <row r="3" ht="15" customHeight="1" s="34">
      <c r="A3" s="49" t="inlineStr">
        <is>
          <t>2026-05-26</t>
        </is>
      </c>
      <c r="B3" s="33" t="n">
        <v>0.12566459</v>
      </c>
      <c r="C3" s="33">
        <f>IFERROR(B3/B2-1,"")</f>
        <v/>
      </c>
      <c r="D3" s="33" t="n">
        <v>2600000</v>
      </c>
      <c r="E3" s="33" t="n">
        <v>0.4934</v>
      </c>
      <c r="F3" s="33" t="n">
        <v>0.000109765</v>
      </c>
      <c r="G3" s="33" t="n">
        <v>5e-05</v>
      </c>
      <c r="H3" s="33" t="n">
        <v>0.00035662</v>
      </c>
      <c r="I3" s="33" t="n">
        <v>6</v>
      </c>
      <c r="J3" s="33" t="n"/>
      <c r="K3" s="33" t="n"/>
      <c r="L3" s="33" t="n">
        <v>3300000</v>
      </c>
      <c r="M3" s="33" t="n"/>
      <c r="N3" s="33" t="n"/>
      <c r="O3" s="33" t="n">
        <v>1.7128</v>
      </c>
      <c r="P3" s="33" t="n">
        <v>1.3299</v>
      </c>
      <c r="Q3" s="33" t="n">
        <v>1.3496</v>
      </c>
      <c r="R3" s="50">
        <f>IFERROR(O3/P3,"")</f>
        <v/>
      </c>
      <c r="S3" s="33">
        <f>IFERROR(AVERAGE(R1:R3),"")</f>
        <v/>
      </c>
      <c r="T3" s="33">
        <f>IFERROR(Q3/Q-2,"")</f>
        <v/>
      </c>
      <c r="U3" s="33">
        <f>IFERROR(O3/O0-1,"")</f>
        <v/>
      </c>
      <c r="V3" s="33">
        <f>IFERROR(P3/P0-1,"")</f>
        <v/>
      </c>
      <c r="W3" s="33" t="n"/>
      <c r="X3" s="33" t="n"/>
      <c r="Y3" s="33" t="n"/>
      <c r="Z3" s="51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52">
        <f>IF(OR(AB3="",D3="",D3=0),"",AB3/D3)</f>
        <v/>
      </c>
      <c r="AK3" s="33" t="n"/>
      <c r="AL3" s="33" t="n"/>
      <c r="AM3" s="33" t="n"/>
      <c r="AN3" s="53" t="n"/>
      <c r="AO3" s="33" t="n"/>
    </row>
    <row r="4" ht="15" customHeight="1" s="34">
      <c r="A4" s="49" t="inlineStr">
        <is>
          <t>2026-05-27</t>
        </is>
      </c>
      <c r="B4" s="33" t="n">
        <v>0.13001367</v>
      </c>
      <c r="C4" s="54">
        <f>IFERROR(B4/B3-1,"")</f>
        <v/>
      </c>
      <c r="D4" s="33" t="n">
        <v>3000000</v>
      </c>
      <c r="E4" s="33" t="n">
        <v>0.4906</v>
      </c>
      <c r="F4" s="33" t="n">
        <v>5e-05</v>
      </c>
      <c r="G4" s="33" t="n">
        <v>5e-05</v>
      </c>
      <c r="H4" s="33" t="n">
        <v>5e-05</v>
      </c>
      <c r="I4" s="33" t="n">
        <v>6</v>
      </c>
      <c r="J4" s="33" t="n"/>
      <c r="K4" s="33" t="n"/>
      <c r="L4" s="33" t="n">
        <v>3300000</v>
      </c>
      <c r="M4" s="33" t="n"/>
      <c r="N4" s="33" t="n"/>
      <c r="O4" s="33" t="n">
        <v>1.6906</v>
      </c>
      <c r="P4" s="33" t="n">
        <v>1.611</v>
      </c>
      <c r="Q4" s="33" t="n">
        <v>1.7012</v>
      </c>
      <c r="R4" s="50">
        <f>IFERROR(O4/P4,"")</f>
        <v/>
      </c>
      <c r="S4" s="33">
        <f>IFERROR(AVERAGE(R2:R4),"")</f>
        <v/>
      </c>
      <c r="T4" s="33">
        <f>IFERROR(Q4/Q-1,"")</f>
        <v/>
      </c>
      <c r="U4" s="33">
        <f>IFERROR(O4/O1-1,"")</f>
        <v/>
      </c>
      <c r="V4" s="33">
        <f>IFERROR(P4/P1-1,"")</f>
        <v/>
      </c>
      <c r="W4" s="33" t="n"/>
      <c r="X4" s="33" t="n"/>
      <c r="Y4" s="33" t="n"/>
      <c r="Z4" s="51" t="n"/>
      <c r="AA4" s="33" t="n"/>
      <c r="AB4" s="33" t="n"/>
      <c r="AC4" s="33" t="n"/>
      <c r="AD4" s="33" t="n"/>
      <c r="AE4" s="33" t="n"/>
      <c r="AF4" s="33" t="n"/>
      <c r="AG4" s="33" t="n"/>
      <c r="AH4" s="33" t="n"/>
      <c r="AI4" s="33" t="n"/>
      <c r="AJ4" s="52">
        <f>IF(OR(AB4="",D4="",D4=0),"",AB4/D4)</f>
        <v/>
      </c>
      <c r="AK4" s="33" t="n"/>
      <c r="AL4" s="33" t="n"/>
      <c r="AM4" s="33" t="n"/>
      <c r="AN4" s="53" t="n"/>
      <c r="AO4" s="33" t="n"/>
    </row>
    <row r="5" ht="15" customHeight="1" s="34">
      <c r="A5" s="49" t="inlineStr">
        <is>
          <t>2026-05-28</t>
        </is>
      </c>
      <c r="B5" s="33" t="n">
        <v>0.12513664</v>
      </c>
      <c r="C5" s="54">
        <f>IFERROR(B5/B4-1,"")</f>
        <v/>
      </c>
      <c r="D5" s="33" t="n">
        <v>4400000</v>
      </c>
      <c r="E5" s="33" t="n">
        <v>0.4432</v>
      </c>
      <c r="F5" s="33" t="n">
        <v>5e-05</v>
      </c>
      <c r="G5" s="33" t="n">
        <v>5e-05</v>
      </c>
      <c r="H5" s="33" t="n">
        <v>5e-05</v>
      </c>
      <c r="I5" s="33" t="n">
        <v>6</v>
      </c>
      <c r="J5" s="33" t="n"/>
      <c r="K5" s="33" t="n"/>
      <c r="L5" s="33" t="n">
        <v>3400000</v>
      </c>
      <c r="M5" s="33" t="n"/>
      <c r="N5" s="33" t="n"/>
      <c r="O5" s="33" t="n">
        <v>1.63</v>
      </c>
      <c r="P5" s="33" t="n">
        <v>1.6745</v>
      </c>
      <c r="Q5" s="33" t="n">
        <v>1.8744</v>
      </c>
      <c r="R5" s="50">
        <f>IFERROR(O5/P5,"")</f>
        <v/>
      </c>
      <c r="S5" s="50">
        <f>IFERROR(AVERAGE(R3:R5),"")</f>
        <v/>
      </c>
      <c r="T5" s="33">
        <f>IFERROR(Q5/Q0,"")</f>
        <v/>
      </c>
      <c r="U5" s="33">
        <f>IFERROR(O5/O2-1,"")</f>
        <v/>
      </c>
      <c r="V5" s="33">
        <f>IFERROR(P5/P2-1,"")</f>
        <v/>
      </c>
      <c r="W5" s="33" t="n"/>
      <c r="X5" s="33" t="n"/>
      <c r="Y5" s="33" t="n"/>
      <c r="Z5" s="51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52">
        <f>IF(OR(AB5="",D5="",D5=0),"",AB5/D5)</f>
        <v/>
      </c>
      <c r="AK5" s="33" t="n"/>
      <c r="AL5" s="33" t="n"/>
      <c r="AM5" s="33" t="n"/>
      <c r="AN5" s="53" t="n"/>
      <c r="AO5" s="33" t="n"/>
    </row>
    <row r="6" ht="15" customHeight="1" s="34">
      <c r="A6" s="49" t="inlineStr">
        <is>
          <t>2026-05-29</t>
        </is>
      </c>
      <c r="B6" s="55" t="n">
        <v>0.11524945</v>
      </c>
      <c r="C6" s="54">
        <f>IFERROR(B6/B5-1,"")</f>
        <v/>
      </c>
      <c r="D6" s="33" t="n">
        <v>1500000</v>
      </c>
      <c r="E6" s="33" t="n">
        <v>0.4816</v>
      </c>
      <c r="F6" s="33" t="n">
        <v>5e-05</v>
      </c>
      <c r="G6" s="33" t="n">
        <v>5e-05</v>
      </c>
      <c r="H6" s="33" t="n">
        <v>5e-05</v>
      </c>
      <c r="I6" s="33" t="n">
        <v>6</v>
      </c>
      <c r="L6" s="33" t="n">
        <v>2900000</v>
      </c>
      <c r="O6" s="33" t="n">
        <v>1.5735</v>
      </c>
      <c r="P6" s="33" t="n">
        <v>1.8201</v>
      </c>
      <c r="Q6" s="33" t="n">
        <v>2.0979</v>
      </c>
      <c r="R6" s="50">
        <f>IFERROR(O6/P6,"")</f>
        <v/>
      </c>
      <c r="S6" s="50">
        <f>IFERROR(AVERAGE(R4:R6),"")</f>
        <v/>
      </c>
      <c r="T6" s="33">
        <f>IFERROR(Q6/Q1,"")</f>
        <v/>
      </c>
      <c r="U6" s="54">
        <f>IFERROR(O6/O3-1,"")</f>
        <v/>
      </c>
      <c r="V6" s="54">
        <f>IFERROR(P6/P3-1,"")</f>
        <v/>
      </c>
      <c r="AA6" s="53" t="n"/>
      <c r="AB6" s="56" t="n"/>
      <c r="AJ6" s="52">
        <f>IF(OR(AB6="",D6="",D6=0),"",AB6/D6)</f>
        <v/>
      </c>
      <c r="AN6" s="53" t="n"/>
    </row>
    <row r="7" ht="15" customHeight="1" s="34">
      <c r="A7" s="49" t="inlineStr">
        <is>
          <t>2026-05-30</t>
        </is>
      </c>
      <c r="B7" s="33" t="n">
        <v>0.11604237</v>
      </c>
      <c r="C7" s="54">
        <f>IFERROR(B7/B6-1,"")</f>
        <v/>
      </c>
      <c r="D7" s="33" t="n">
        <v>900000</v>
      </c>
      <c r="E7" s="33" t="n">
        <v>0.4797</v>
      </c>
      <c r="F7" s="33" t="n">
        <v>0.00011623333</v>
      </c>
      <c r="G7" s="33" t="n">
        <v>5e-05</v>
      </c>
      <c r="H7" s="33" t="n">
        <v>0.00020199</v>
      </c>
      <c r="I7" s="33" t="n">
        <v>6</v>
      </c>
      <c r="J7" s="33" t="n"/>
      <c r="K7" s="33" t="n"/>
      <c r="L7" s="33" t="n">
        <v>2900000</v>
      </c>
      <c r="M7" s="33" t="n"/>
      <c r="N7" s="33" t="n"/>
      <c r="O7" s="33" t="n">
        <v>1.6059</v>
      </c>
      <c r="P7" s="33" t="n">
        <v>1.7617</v>
      </c>
      <c r="Q7" s="33" t="n">
        <v>2.1095</v>
      </c>
      <c r="R7" s="50">
        <f>IFERROR(O7/P7,"")</f>
        <v/>
      </c>
      <c r="S7" s="50">
        <f>IFERROR(AVERAGE(R5:R7),"")</f>
        <v/>
      </c>
      <c r="T7" s="33">
        <f>IFERROR(Q7/Q2,"")</f>
        <v/>
      </c>
      <c r="U7" s="54">
        <f>IFERROR(O7/O4-1,"")</f>
        <v/>
      </c>
      <c r="V7" s="54">
        <f>IFERROR(P7/P4-1,"")</f>
        <v/>
      </c>
      <c r="W7" s="33" t="n"/>
      <c r="X7" s="33" t="n"/>
      <c r="Y7" s="33" t="n"/>
      <c r="Z7" s="51" t="n"/>
      <c r="AA7" s="33" t="n"/>
      <c r="AB7" s="33" t="n"/>
      <c r="AC7" s="33" t="n"/>
      <c r="AD7" s="33" t="n"/>
      <c r="AE7" s="33" t="n"/>
      <c r="AF7" s="33" t="n"/>
      <c r="AG7" s="33" t="n"/>
      <c r="AH7" s="33" t="n"/>
      <c r="AI7" s="33" t="n"/>
      <c r="AJ7" s="52">
        <f>IF(OR(AB7="",D7="",D7=0),"",AB7/D7)</f>
        <v/>
      </c>
      <c r="AK7" s="33" t="n"/>
      <c r="AL7" s="33" t="n"/>
      <c r="AM7" s="33" t="n"/>
      <c r="AN7" s="53" t="n"/>
      <c r="AO7" s="33" t="n"/>
    </row>
    <row r="8" ht="15" customHeight="1" s="34">
      <c r="A8" s="49" t="inlineStr">
        <is>
          <t>2026-05-31</t>
        </is>
      </c>
      <c r="B8" s="55" t="n">
        <v>0.11389529</v>
      </c>
      <c r="C8" s="54">
        <f>IFERROR(B8/B7-1,"")</f>
        <v/>
      </c>
      <c r="D8" s="33" t="n">
        <v>940000</v>
      </c>
      <c r="E8" s="33" t="n">
        <v>0.5222</v>
      </c>
      <c r="F8" s="57" t="n">
        <v>0.00018228333</v>
      </c>
      <c r="G8" s="33" t="n">
        <v>5e-05</v>
      </c>
      <c r="H8" s="33" t="n">
        <v>0.00039914</v>
      </c>
      <c r="I8" s="33" t="n">
        <v>6</v>
      </c>
      <c r="J8" s="53" t="n"/>
      <c r="L8" s="56" t="n">
        <v>2700000</v>
      </c>
      <c r="N8" s="53" t="n"/>
      <c r="O8" s="58" t="n">
        <v>1.6197</v>
      </c>
      <c r="P8" s="58" t="n">
        <v>2.0572</v>
      </c>
      <c r="Q8" s="58" t="n">
        <v>2.406</v>
      </c>
      <c r="R8" s="50">
        <f>IFERROR(O8/P8,"")</f>
        <v/>
      </c>
      <c r="S8" s="50">
        <f>IFERROR(AVERAGE(R6:R8),"")</f>
        <v/>
      </c>
      <c r="T8" s="50">
        <f>IFERROR(Q8/Q3,"")</f>
        <v/>
      </c>
      <c r="U8" s="54">
        <f>IFERROR(O8/O5-1,"")</f>
        <v/>
      </c>
      <c r="V8" s="54">
        <f>IFERROR(P8/P5-1,"")</f>
        <v/>
      </c>
      <c r="AA8" s="53" t="n"/>
      <c r="AD8" s="56" t="n"/>
      <c r="AE8" s="56" t="n"/>
      <c r="AJ8" s="52">
        <f>IF(OR(AB8="",D8="",D8=0),"",AB8/D8)</f>
        <v/>
      </c>
      <c r="AK8" s="53" t="n"/>
      <c r="AL8" s="53" t="n"/>
      <c r="AN8" s="53" t="n"/>
      <c r="AO8" s="53" t="n"/>
    </row>
    <row r="9">
      <c r="A9" s="33" t="inlineStr">
        <is>
          <t>2026-06-01</t>
        </is>
      </c>
      <c r="B9" s="33" t="n">
        <v>0.11571912</v>
      </c>
      <c r="C9" s="33">
        <f>IFERROR(B9/B8-1,"")</f>
        <v/>
      </c>
      <c r="D9" s="33" t="n">
        <v>1700000</v>
      </c>
      <c r="E9" s="33" t="n">
        <v>0.4631</v>
      </c>
      <c r="F9" s="33" t="n">
        <v>0.00020909667</v>
      </c>
      <c r="G9" s="33" t="n">
        <v>5e-05</v>
      </c>
      <c r="H9" s="33" t="n">
        <v>0.00047247</v>
      </c>
      <c r="I9" s="33" t="n">
        <v>6</v>
      </c>
      <c r="L9" s="33" t="n">
        <v>2700000</v>
      </c>
      <c r="O9" s="33" t="n">
        <v>1.6035</v>
      </c>
      <c r="P9" s="33" t="n">
        <v>2.124</v>
      </c>
      <c r="Q9" s="33" t="n">
        <v>2.5436</v>
      </c>
      <c r="R9" s="33">
        <f>IFERROR(O9/P9,"")</f>
        <v/>
      </c>
      <c r="S9" s="33">
        <f>IFERROR(AVERAGE(R7:R9),"")</f>
        <v/>
      </c>
      <c r="T9" s="33">
        <f>IFERROR(Q9/Q4,"")</f>
        <v/>
      </c>
      <c r="U9" s="33">
        <f>IFERROR(O9/O6-1,"")</f>
        <v/>
      </c>
      <c r="V9" s="33">
        <f>IFERROR(P9/P6-1,"")</f>
        <v/>
      </c>
      <c r="AJ9" s="33">
        <f>IF(OR(AB9="",D9="",D9=0),"",AB9/D9)</f>
        <v/>
      </c>
    </row>
    <row r="10" ht="15" customHeight="1" s="34">
      <c r="A10" s="41" t="inlineStr">
        <is>
          <t>2026-06-02</t>
        </is>
      </c>
      <c r="B10" s="33" t="n">
        <v>0.11257489</v>
      </c>
      <c r="C10" s="33">
        <f>IFERROR(B10/B9-1,"")</f>
        <v/>
      </c>
      <c r="D10" s="33" t="n">
        <v>1600000</v>
      </c>
      <c r="E10" s="33" t="n">
        <v>0.4576</v>
      </c>
      <c r="F10" s="33" t="n">
        <v>6.944e-05</v>
      </c>
      <c r="G10" s="33" t="n">
        <v>5e-05</v>
      </c>
      <c r="H10" s="33" t="n">
        <v>0.00012037</v>
      </c>
      <c r="I10" s="33" t="n">
        <v>6</v>
      </c>
      <c r="L10" s="33" t="n">
        <v>2800000</v>
      </c>
      <c r="O10" s="33" t="n">
        <v>1.6371</v>
      </c>
      <c r="P10" s="33" t="n">
        <v>2.1466</v>
      </c>
      <c r="Q10" s="33" t="n">
        <v>2.601</v>
      </c>
      <c r="R10" s="33">
        <f>IFERROR(O10/P10,"")</f>
        <v/>
      </c>
      <c r="S10" s="33">
        <f>IFERROR(AVERAGE(R8:R10),"")</f>
        <v/>
      </c>
      <c r="T10" s="33">
        <f>IFERROR(Q10/Q5,"")</f>
        <v/>
      </c>
      <c r="U10" s="33">
        <f>IFERROR(O10/O7-1,"")</f>
        <v/>
      </c>
      <c r="V10" s="33">
        <f>IFERROR(P10/P7-1,"")</f>
        <v/>
      </c>
      <c r="AJ10" s="33">
        <f>IF(OR(AB10="",D10="",D10=0),"",AB10/D10)</f>
        <v/>
      </c>
    </row>
    <row r="11">
      <c r="A11" s="33" t="inlineStr">
        <is>
          <t>2026-06-03</t>
        </is>
      </c>
      <c r="B11" s="33" t="n">
        <v>0.12403545</v>
      </c>
      <c r="C11" s="33">
        <f>IFERROR(B11/B10-1,"")</f>
        <v/>
      </c>
      <c r="D11" s="33" t="n">
        <v>5800000</v>
      </c>
      <c r="E11" s="33" t="n">
        <v>0.4533</v>
      </c>
      <c r="F11" s="33" t="n">
        <v>0.00031061</v>
      </c>
      <c r="G11" s="33" t="n">
        <v>5e-05</v>
      </c>
      <c r="H11" s="33" t="n">
        <v>0.00061445</v>
      </c>
      <c r="I11" s="33" t="n">
        <v>6</v>
      </c>
      <c r="L11" s="33" t="n">
        <v>2600000</v>
      </c>
      <c r="O11" s="33" t="n">
        <v>1.614</v>
      </c>
      <c r="P11" s="33" t="n">
        <v>2.2723</v>
      </c>
      <c r="Q11" s="33" t="n">
        <v>2.7023</v>
      </c>
      <c r="R11" s="33">
        <f>IFERROR(O11/P11,"")</f>
        <v/>
      </c>
      <c r="S11" s="33">
        <f>IFERROR(AVERAGE(R9:R11),"")</f>
        <v/>
      </c>
      <c r="T11" s="33">
        <f>IFERROR(Q11/Q6,"")</f>
        <v/>
      </c>
      <c r="U11" s="33">
        <f>IFERROR(O11/O8-1,"")</f>
        <v/>
      </c>
      <c r="V11" s="33">
        <f>IFERROR(P11/P8-1,"")</f>
        <v/>
      </c>
      <c r="AJ11" s="33">
        <f>IF(OR(AB11="",D11="",D11=0),"",AB11/D11)</f>
        <v/>
      </c>
    </row>
    <row r="12">
      <c r="A12" s="33" t="inlineStr">
        <is>
          <t>2026-06-04</t>
        </is>
      </c>
      <c r="B12" s="33" t="n">
        <v>0.11244069</v>
      </c>
      <c r="C12" s="33">
        <f>IFERROR(B12/B11-1,"")</f>
        <v/>
      </c>
      <c r="D12" s="33" t="n">
        <v>3800000</v>
      </c>
      <c r="E12" s="33" t="n">
        <v>0.5031</v>
      </c>
      <c r="F12" s="33" t="n">
        <v>5e-05</v>
      </c>
      <c r="G12" s="33" t="n">
        <v>5e-05</v>
      </c>
      <c r="H12" s="33" t="n">
        <v>5e-05</v>
      </c>
      <c r="I12" s="33" t="n">
        <v>6</v>
      </c>
      <c r="L12" s="33" t="n">
        <v>2900000</v>
      </c>
      <c r="O12" s="33" t="n">
        <v>1.6712</v>
      </c>
      <c r="P12" s="33" t="n">
        <v>1.9455</v>
      </c>
      <c r="Q12" s="33" t="n">
        <v>2.1878</v>
      </c>
      <c r="R12" s="33">
        <f>IFERROR(O12/P12,"")</f>
        <v/>
      </c>
      <c r="S12" s="33">
        <f>IFERROR(AVERAGE(R10:R12),"")</f>
        <v/>
      </c>
      <c r="T12" s="33">
        <f>IFERROR(Q12/Q7,"")</f>
        <v/>
      </c>
      <c r="U12" s="33">
        <f>IFERROR(O12/O9-1,"")</f>
        <v/>
      </c>
      <c r="V12" s="33">
        <f>IFERROR(P12/P9-1,"")</f>
        <v/>
      </c>
      <c r="AJ12" s="33">
        <f>IF(OR(AB12="",D12="",D12=0),"",AB12/D12)</f>
        <v/>
      </c>
    </row>
    <row r="13">
      <c r="A13" s="33" t="inlineStr">
        <is>
          <t>2026-06-05</t>
        </is>
      </c>
      <c r="B13" s="33" t="n">
        <v>0.10303395</v>
      </c>
      <c r="C13" s="33">
        <f>IFERROR(B13/B12-1,"")</f>
        <v/>
      </c>
      <c r="D13" s="33" t="n">
        <v>2400000</v>
      </c>
      <c r="E13" s="33" t="n">
        <v>0.4977</v>
      </c>
      <c r="F13" s="33" t="n">
        <v>5e-05</v>
      </c>
      <c r="G13" s="33" t="n">
        <v>5e-05</v>
      </c>
      <c r="H13" s="33" t="n">
        <v>5e-05</v>
      </c>
      <c r="I13" s="33" t="n">
        <v>6</v>
      </c>
      <c r="L13" s="33" t="n">
        <v>2500000</v>
      </c>
      <c r="O13" s="33" t="n">
        <v>1.6662</v>
      </c>
      <c r="P13" s="33" t="n">
        <v>1.9163</v>
      </c>
      <c r="Q13" s="33" t="n">
        <v>2.3344</v>
      </c>
      <c r="R13" s="33">
        <f>IFERROR(O13/P13,"")</f>
        <v/>
      </c>
      <c r="S13" s="33">
        <f>IFERROR(AVERAGE(R11:R13),"")</f>
        <v/>
      </c>
      <c r="T13" s="33">
        <f>IFERROR(Q13/Q8,"")</f>
        <v/>
      </c>
      <c r="U13" s="33">
        <f>IFERROR(O13/O10-1,"")</f>
        <v/>
      </c>
      <c r="V13" s="33">
        <f>IFERROR(P13/P10-1,"")</f>
        <v/>
      </c>
      <c r="AJ13" s="33">
        <f>IF(OR(AB13="",D13="",D13=0),"",AB13/D13)</f>
        <v/>
      </c>
    </row>
    <row r="14">
      <c r="A14" s="33" t="inlineStr">
        <is>
          <t>2026-06-06</t>
        </is>
      </c>
      <c r="B14" s="33" t="n">
        <v>0.098894607</v>
      </c>
      <c r="C14" s="33">
        <f>IFERROR(B14/B13-1,"")</f>
        <v/>
      </c>
      <c r="D14" s="33" t="n">
        <v>1400000</v>
      </c>
      <c r="E14" s="33" t="n">
        <v>0.4735</v>
      </c>
      <c r="F14" s="33" t="n">
        <v>5e-05</v>
      </c>
      <c r="G14" s="33" t="n">
        <v>5e-05</v>
      </c>
      <c r="H14" s="33" t="n">
        <v>5e-05</v>
      </c>
      <c r="I14" s="33" t="n">
        <v>6</v>
      </c>
      <c r="L14" s="33" t="n">
        <v>2300000</v>
      </c>
      <c r="O14" s="33" t="n">
        <v>1.6365</v>
      </c>
      <c r="P14" s="33" t="n">
        <v>1.845</v>
      </c>
      <c r="Q14" s="33" t="n">
        <v>2.2082</v>
      </c>
      <c r="R14" s="33">
        <f>IFERROR(O14/P14,"")</f>
        <v/>
      </c>
      <c r="S14" s="33">
        <f>IFERROR(AVERAGE(R12:R14),"")</f>
        <v/>
      </c>
      <c r="T14" s="33">
        <f>IFERROR(Q14/Q9,"")</f>
        <v/>
      </c>
      <c r="U14" s="33">
        <f>IFERROR(O14/O11-1,"")</f>
        <v/>
      </c>
      <c r="V14" s="33">
        <f>IFERROR(P14/P11-1,"")</f>
        <v/>
      </c>
      <c r="AJ14" s="33">
        <f>IF(OR(AB14="",D14="",D14=0),"",AB14/D14)</f>
        <v/>
      </c>
    </row>
    <row r="15">
      <c r="A15" s="33" t="inlineStr">
        <is>
          <t>2026-06-07</t>
        </is>
      </c>
      <c r="B15" s="33" t="n">
        <v>0.11123894</v>
      </c>
      <c r="C15" s="33">
        <f>IFERROR(B15/B14-1,"")</f>
        <v/>
      </c>
      <c r="D15" s="33" t="n">
        <v>3100000</v>
      </c>
      <c r="E15" s="33" t="n">
        <v>0.4691</v>
      </c>
      <c r="F15" s="33" t="n">
        <v>7.9311667e-05</v>
      </c>
      <c r="G15" s="33" t="n">
        <v>5e-05</v>
      </c>
      <c r="H15" s="33" t="n">
        <v>0.00015383</v>
      </c>
      <c r="I15" s="33" t="n">
        <v>6</v>
      </c>
      <c r="L15" s="33" t="n">
        <v>2300000</v>
      </c>
      <c r="O15" s="33" t="n">
        <v>1.6773</v>
      </c>
      <c r="P15" s="33" t="n">
        <v>1.7345</v>
      </c>
      <c r="Q15" s="33" t="n">
        <v>2.0807</v>
      </c>
      <c r="R15" s="33">
        <f>IFERROR(O15/P15,"")</f>
        <v/>
      </c>
      <c r="S15" s="33">
        <f>IFERROR(AVERAGE(R13:R15),"")</f>
        <v/>
      </c>
      <c r="T15" s="33">
        <f>IFERROR(Q15/Q10,"")</f>
        <v/>
      </c>
      <c r="U15" s="33">
        <f>IFERROR(O15/O12-1,"")</f>
        <v/>
      </c>
      <c r="V15" s="33">
        <f>IFERROR(P15/P12-1,"")</f>
        <v/>
      </c>
      <c r="AJ15" s="33">
        <f>IF(OR(AB15="",D15="",D15=0),"",AB15/D15)</f>
        <v/>
      </c>
    </row>
    <row r="16">
      <c r="A16" s="33" t="inlineStr">
        <is>
          <t>2026-06-08</t>
        </is>
      </c>
      <c r="B16" s="33" t="n">
        <v>0.11114916</v>
      </c>
      <c r="C16" s="33">
        <f>IFERROR(B16/B15-1,"")</f>
        <v/>
      </c>
      <c r="D16" s="33" t="n">
        <v>1300000</v>
      </c>
      <c r="E16" s="33" t="n">
        <v>0.4694</v>
      </c>
      <c r="F16" s="33" t="n">
        <v>8.053333299999999e-05</v>
      </c>
      <c r="G16" s="33" t="n">
        <v>5e-05</v>
      </c>
      <c r="H16" s="33" t="n">
        <v>0.0001891</v>
      </c>
      <c r="I16" s="33" t="n">
        <v>6</v>
      </c>
      <c r="L16" s="33" t="n">
        <v>2600000</v>
      </c>
      <c r="O16" s="33" t="n">
        <v>1.6988</v>
      </c>
      <c r="P16" s="33" t="n">
        <v>1.9248</v>
      </c>
      <c r="Q16" s="33" t="n">
        <v>2.3014</v>
      </c>
      <c r="R16" s="33">
        <f>IFERROR(O16/P16,"")</f>
        <v/>
      </c>
      <c r="S16" s="33">
        <f>IFERROR(AVERAGE(R14:R16),"")</f>
        <v/>
      </c>
      <c r="T16" s="33">
        <f>IFERROR(Q16/Q11,"")</f>
        <v/>
      </c>
      <c r="U16" s="33">
        <f>IFERROR(O16/O13-1,"")</f>
        <v/>
      </c>
      <c r="V16" s="33">
        <f>IFERROR(P16/P13-1,"")</f>
        <v/>
      </c>
      <c r="AJ16" s="33">
        <f>IF(OR(AB16="",D16="",D16=0),"",AB16/D16)</f>
        <v/>
      </c>
    </row>
    <row r="17">
      <c r="A17" s="33" t="inlineStr">
        <is>
          <t>2026-06-09</t>
        </is>
      </c>
      <c r="B17" s="33" t="n">
        <v>0.11375661</v>
      </c>
      <c r="C17" s="33">
        <f>IFERROR(B17/B16-1,"")</f>
        <v/>
      </c>
      <c r="D17" s="33" t="n">
        <v>1400000</v>
      </c>
      <c r="E17" s="33" t="n">
        <v>0.456</v>
      </c>
      <c r="F17" s="33" t="n">
        <v>0.00013595333</v>
      </c>
      <c r="G17" s="33" t="n">
        <v>5e-05</v>
      </c>
      <c r="H17" s="33" t="n">
        <v>0.00027849</v>
      </c>
      <c r="I17" s="33" t="n">
        <v>6</v>
      </c>
      <c r="L17" s="33" t="n">
        <v>2500000</v>
      </c>
      <c r="O17" s="33" t="n">
        <v>1.7343</v>
      </c>
      <c r="P17" s="33" t="n">
        <v>2.1676</v>
      </c>
      <c r="Q17" s="33" t="n">
        <v>2.5112</v>
      </c>
      <c r="R17" s="33">
        <f>IFERROR(O17/P17,"")</f>
        <v/>
      </c>
      <c r="S17" s="33">
        <f>IFERROR(AVERAGE(R15:R17),"")</f>
        <v/>
      </c>
      <c r="T17" s="33">
        <f>IFERROR(Q17/Q12,"")</f>
        <v/>
      </c>
      <c r="U17" s="33">
        <f>IFERROR(O17/O14-1,"")</f>
        <v/>
      </c>
      <c r="V17" s="33">
        <f>IFERROR(P17/P14-1,"")</f>
        <v/>
      </c>
      <c r="AJ17" s="33">
        <f>IF(OR(AB17="",D17="",D17=0),"",AB17/D17)</f>
        <v/>
      </c>
    </row>
    <row r="18">
      <c r="A18" s="33" t="inlineStr">
        <is>
          <t>2026-06-10</t>
        </is>
      </c>
      <c r="B18" s="33" t="n">
        <v>0.11692792</v>
      </c>
      <c r="C18" s="33">
        <f>IFERROR(B18/B17-1,"")</f>
        <v/>
      </c>
      <c r="D18" s="33" t="n">
        <v>2800000</v>
      </c>
      <c r="E18" s="33" t="n">
        <v>0.4918</v>
      </c>
      <c r="F18" s="33" t="n">
        <v>0.000173085</v>
      </c>
      <c r="G18" s="33" t="n">
        <v>5e-05</v>
      </c>
      <c r="H18" s="33" t="n">
        <v>0.00045416</v>
      </c>
      <c r="I18" s="33" t="n">
        <v>6</v>
      </c>
      <c r="L18" s="33" t="n">
        <v>2500000</v>
      </c>
      <c r="O18" s="33" t="n">
        <v>1.6806</v>
      </c>
      <c r="P18" s="33" t="n">
        <v>2.0845</v>
      </c>
      <c r="Q18" s="33" t="n">
        <v>2.453</v>
      </c>
      <c r="R18" s="33">
        <f>IFERROR(O18/P18,"")</f>
        <v/>
      </c>
      <c r="S18" s="33">
        <f>IFERROR(AVERAGE(R16:R18),"")</f>
        <v/>
      </c>
      <c r="T18" s="33">
        <f>IFERROR(Q18/Q13,"")</f>
        <v/>
      </c>
      <c r="U18" s="33">
        <f>IFERROR(O18/O15-1,"")</f>
        <v/>
      </c>
      <c r="V18" s="33">
        <f>IFERROR(P18/P15-1,"")</f>
        <v/>
      </c>
      <c r="AJ18" s="33">
        <f>IF(OR(AB18="",D18="",D18=0),"",AB18/D18)</f>
        <v/>
      </c>
    </row>
    <row r="19">
      <c r="A19" s="33" t="inlineStr">
        <is>
          <t>2026-06-11</t>
        </is>
      </c>
      <c r="B19" s="33" t="n">
        <v>0.13587616</v>
      </c>
      <c r="C19" s="33">
        <f>IFERROR(B19/B18-1,"")</f>
        <v/>
      </c>
      <c r="D19" s="33" t="n">
        <v>8800000</v>
      </c>
      <c r="E19" s="33" t="n">
        <v>0.4639</v>
      </c>
      <c r="F19" s="33" t="n">
        <v>5.274e-05</v>
      </c>
      <c r="G19" s="33" t="n">
        <v>5e-05</v>
      </c>
      <c r="H19" s="33" t="n">
        <v>6.643999999999999e-05</v>
      </c>
      <c r="I19" s="33" t="n">
        <v>6</v>
      </c>
      <c r="L19" s="33" t="n">
        <v>2800000</v>
      </c>
      <c r="O19" s="33" t="n">
        <v>1.5429</v>
      </c>
      <c r="P19" s="33" t="n">
        <v>2.0166</v>
      </c>
      <c r="Q19" s="33" t="n">
        <v>2.3591</v>
      </c>
      <c r="R19" s="33">
        <f>IFERROR(O19/P19,"")</f>
        <v/>
      </c>
      <c r="S19" s="33">
        <f>IFERROR(AVERAGE(R17:R19),"")</f>
        <v/>
      </c>
      <c r="T19" s="33">
        <f>IFERROR(Q19/Q14,"")</f>
        <v/>
      </c>
      <c r="U19" s="33">
        <f>IFERROR(O19/O16-1,"")</f>
        <v/>
      </c>
      <c r="V19" s="33">
        <f>IFERROR(P19/P16-1,"")</f>
        <v/>
      </c>
      <c r="AJ19" s="33">
        <f>IF(OR(AB19="",D19="",D19=0),"",AB19/D19)</f>
        <v/>
      </c>
    </row>
    <row r="20">
      <c r="A20" s="33" t="inlineStr">
        <is>
          <t>2026-06-12</t>
        </is>
      </c>
      <c r="B20" s="33" t="n">
        <v>0.14088042</v>
      </c>
      <c r="C20" s="33">
        <f>IFERROR(B20/B19-1,"")</f>
        <v/>
      </c>
      <c r="D20" s="33" t="n">
        <v>3200000</v>
      </c>
      <c r="E20" s="33" t="n">
        <v>0.4594</v>
      </c>
      <c r="F20" s="33" t="n">
        <v>5.4401667e-05</v>
      </c>
      <c r="G20" s="33" t="n">
        <v>5e-05</v>
      </c>
      <c r="H20" s="33" t="n">
        <v>7.641e-05</v>
      </c>
      <c r="I20" s="33" t="n">
        <v>6</v>
      </c>
      <c r="L20" s="33" t="n">
        <v>3700000</v>
      </c>
      <c r="O20" s="33" t="n">
        <v>1.4845</v>
      </c>
      <c r="P20" s="33" t="n">
        <v>1.694</v>
      </c>
      <c r="Q20" s="33" t="n">
        <v>1.9121</v>
      </c>
      <c r="R20" s="33">
        <f>IFERROR(O20/P20,"")</f>
        <v/>
      </c>
      <c r="S20" s="33">
        <f>IFERROR(AVERAGE(R18:R20),"")</f>
        <v/>
      </c>
      <c r="T20" s="33">
        <f>IFERROR(Q20/Q15,"")</f>
        <v/>
      </c>
      <c r="U20" s="33">
        <f>IFERROR(O20/O17-1,"")</f>
        <v/>
      </c>
      <c r="V20" s="33">
        <f>IFERROR(P20/P17-1,"")</f>
        <v/>
      </c>
      <c r="AJ20" s="33">
        <f>IF(OR(AB20="",D20="",D20=0),"",AB20/D20)</f>
        <v/>
      </c>
    </row>
    <row r="21">
      <c r="A21" s="33" t="inlineStr">
        <is>
          <t>2026-06-13</t>
        </is>
      </c>
      <c r="B21" s="33" t="n">
        <v>0.12804745</v>
      </c>
      <c r="C21" s="33">
        <f>IFERROR(B21/B20-1,"")</f>
        <v/>
      </c>
      <c r="D21" s="33" t="n">
        <v>1900000</v>
      </c>
      <c r="E21" s="33" t="n">
        <v>0.465</v>
      </c>
      <c r="F21" s="33" t="n">
        <v>5e-05</v>
      </c>
      <c r="G21" s="33" t="n">
        <v>5e-05</v>
      </c>
      <c r="H21" s="33" t="n">
        <v>5e-05</v>
      </c>
      <c r="I21" s="33" t="n">
        <v>6</v>
      </c>
      <c r="L21" s="33" t="n">
        <v>3300000</v>
      </c>
      <c r="O21" s="33" t="n">
        <v>1.5512</v>
      </c>
      <c r="P21" s="33" t="n">
        <v>1.588</v>
      </c>
      <c r="Q21" s="33" t="n">
        <v>1.7949</v>
      </c>
      <c r="R21" s="33">
        <f>IFERROR(O21/P21,"")</f>
        <v/>
      </c>
      <c r="S21" s="33">
        <f>IFERROR(AVERAGE(R19:R21),"")</f>
        <v/>
      </c>
      <c r="T21" s="33">
        <f>IFERROR(Q21/Q16,"")</f>
        <v/>
      </c>
      <c r="U21" s="33">
        <f>IFERROR(O21/O18-1,"")</f>
        <v/>
      </c>
      <c r="V21" s="33">
        <f>IFERROR(P21/P18-1,"")</f>
        <v/>
      </c>
      <c r="AJ21" s="33">
        <f>IF(OR(AB21="",D21="",D21=0),"",AB21/D21)</f>
        <v/>
      </c>
    </row>
    <row r="22">
      <c r="A22" s="33" t="inlineStr">
        <is>
          <t>2026-06-14</t>
        </is>
      </c>
      <c r="B22" s="33" t="n">
        <v>0.11838668</v>
      </c>
      <c r="C22" s="33">
        <f>IFERROR(B22/B21-1,"")</f>
        <v/>
      </c>
      <c r="D22" s="33" t="n">
        <v>890000</v>
      </c>
      <c r="E22" s="33" t="n">
        <v>0.4763</v>
      </c>
      <c r="F22" s="33" t="n">
        <v>5e-05</v>
      </c>
      <c r="G22" s="33" t="n">
        <v>5e-05</v>
      </c>
      <c r="H22" s="33" t="n">
        <v>5e-05</v>
      </c>
      <c r="I22" s="33" t="n">
        <v>6</v>
      </c>
      <c r="L22" s="33" t="n">
        <v>2800000</v>
      </c>
      <c r="O22" s="33" t="n">
        <v>1.492</v>
      </c>
      <c r="P22" s="33" t="n">
        <v>1.8785</v>
      </c>
      <c r="Q22" s="33" t="n">
        <v>2.1776</v>
      </c>
      <c r="R22" s="33">
        <f>IFERROR(O22/P22,"")</f>
        <v/>
      </c>
      <c r="S22" s="33">
        <f>IFERROR(AVERAGE(R20:R22),"")</f>
        <v/>
      </c>
      <c r="T22" s="33">
        <f>IFERROR(Q22/Q17,"")</f>
        <v/>
      </c>
      <c r="U22" s="33">
        <f>IFERROR(O22/O19-1,"")</f>
        <v/>
      </c>
      <c r="V22" s="33">
        <f>IFERROR(P22/P19-1,"")</f>
        <v/>
      </c>
      <c r="AJ22" s="33">
        <f>IF(OR(AB22="",D22="",D22=0),"",AB22/D22)</f>
        <v/>
      </c>
    </row>
    <row r="23">
      <c r="A23" s="33" t="inlineStr">
        <is>
          <t>2026-06-15</t>
        </is>
      </c>
      <c r="B23" s="33" t="n">
        <v>0.11489641</v>
      </c>
      <c r="C23" s="33">
        <f>IFERROR(B23/B22-1,"")</f>
        <v/>
      </c>
      <c r="D23" s="33" t="n">
        <v>990000</v>
      </c>
      <c r="E23" s="33" t="n">
        <v>0.4919</v>
      </c>
      <c r="F23" s="33" t="n">
        <v>8.4536667e-05</v>
      </c>
      <c r="G23" s="33" t="n">
        <v>5e-05</v>
      </c>
      <c r="H23" s="33" t="n">
        <v>0.00014707</v>
      </c>
      <c r="I23" s="33" t="n">
        <v>6</v>
      </c>
      <c r="L23" s="33" t="n">
        <v>2700000</v>
      </c>
      <c r="O23" s="33" t="n">
        <v>1.4802</v>
      </c>
      <c r="P23" s="33" t="n">
        <v>1.9291</v>
      </c>
      <c r="Q23" s="33" t="n">
        <v>2.3003</v>
      </c>
      <c r="R23" s="33">
        <f>IFERROR(O23/P23,"")</f>
        <v/>
      </c>
      <c r="S23" s="33">
        <f>IFERROR(AVERAGE(R21:R23),"")</f>
        <v/>
      </c>
      <c r="T23" s="33">
        <f>IFERROR(Q23/Q18,"")</f>
        <v/>
      </c>
      <c r="U23" s="33">
        <f>IFERROR(O23/O20-1,"")</f>
        <v/>
      </c>
      <c r="V23" s="33">
        <f>IFERROR(P23/P20-1,"")</f>
        <v/>
      </c>
      <c r="AJ23" s="33">
        <f>IF(OR(AB23="",D23="",D23=0),"",AB23/D23)</f>
        <v/>
      </c>
    </row>
    <row r="24">
      <c r="A24" s="33" t="inlineStr">
        <is>
          <t>2026-06-16</t>
        </is>
      </c>
      <c r="B24" s="33" t="n">
        <v>0.17617646</v>
      </c>
      <c r="C24" s="33">
        <f>IFERROR(B24/B23-1,"")</f>
        <v/>
      </c>
      <c r="D24" s="33" t="n">
        <v>130000000</v>
      </c>
      <c r="E24" s="33" t="n">
        <v>0.5155999999999999</v>
      </c>
      <c r="F24" s="33" t="n">
        <v>0.00026853</v>
      </c>
      <c r="G24" s="33" t="n">
        <v>5e-05</v>
      </c>
      <c r="H24" s="33" t="n">
        <v>0.00075831</v>
      </c>
      <c r="I24" s="33" t="n">
        <v>6</v>
      </c>
      <c r="L24" s="33" t="n">
        <v>2600000</v>
      </c>
      <c r="O24" s="33" t="n">
        <v>1.4778</v>
      </c>
      <c r="P24" s="33" t="n">
        <v>2.0637</v>
      </c>
      <c r="Q24" s="33" t="n">
        <v>2.4165</v>
      </c>
      <c r="R24" s="33">
        <f>IFERROR(O24/P24,"")</f>
        <v/>
      </c>
      <c r="S24" s="33">
        <f>IFERROR(AVERAGE(R22:R24),"")</f>
        <v/>
      </c>
      <c r="T24" s="33">
        <f>IFERROR(Q24/Q19,"")</f>
        <v/>
      </c>
      <c r="U24" s="33">
        <f>IFERROR(O24/O21-1,"")</f>
        <v/>
      </c>
      <c r="V24" s="33">
        <f>IFERROR(P24/P21-1,"")</f>
        <v/>
      </c>
      <c r="AJ24" s="33">
        <f>IF(OR(AB24="",D24="",D24=0),"",AB24/D24)</f>
        <v/>
      </c>
    </row>
    <row r="25">
      <c r="A25" s="33" t="inlineStr">
        <is>
          <t>2026-06-17</t>
        </is>
      </c>
      <c r="B25" s="33" t="n">
        <v>0.19216774</v>
      </c>
      <c r="C25" s="33">
        <f>IFERROR(B25/B24-1,"")</f>
        <v/>
      </c>
      <c r="D25" s="33" t="n">
        <v>160000000</v>
      </c>
      <c r="E25" s="33" t="n">
        <v>0.5208</v>
      </c>
      <c r="F25" s="33" t="n">
        <v>0.00018252</v>
      </c>
      <c r="G25" s="33" t="n">
        <v>8.588e-05</v>
      </c>
      <c r="H25" s="33" t="n">
        <v>0.00037841</v>
      </c>
      <c r="I25" s="33" t="n">
        <v>6</v>
      </c>
      <c r="L25" s="33" t="n">
        <v>9900000</v>
      </c>
      <c r="O25" s="33" t="n">
        <v>1.281</v>
      </c>
      <c r="P25" s="33" t="n">
        <v>0.471</v>
      </c>
      <c r="Q25" s="33" t="n">
        <v>0.5272</v>
      </c>
      <c r="R25" s="33">
        <f>IFERROR(O25/P25,"")</f>
        <v/>
      </c>
      <c r="S25" s="33">
        <f>IFERROR(AVERAGE(R23:R25),"")</f>
        <v/>
      </c>
      <c r="T25" s="33">
        <f>IFERROR(Q25/Q20,"")</f>
        <v/>
      </c>
      <c r="U25" s="33">
        <f>IFERROR(O25/O22-1,"")</f>
        <v/>
      </c>
      <c r="V25" s="33">
        <f>IFERROR(P25/P22-1,"")</f>
        <v/>
      </c>
      <c r="AJ25" s="33">
        <f>IF(OR(AB25="",D25="",D25=0),"",AB25/D25)</f>
        <v/>
      </c>
    </row>
    <row r="26">
      <c r="A26" s="33" t="inlineStr">
        <is>
          <t>2026-06-18</t>
        </is>
      </c>
      <c r="B26" s="33" t="n">
        <v>0.16330298</v>
      </c>
      <c r="C26" s="33">
        <f>IFERROR(B26/B25-1,"")</f>
        <v/>
      </c>
      <c r="D26" s="33" t="n">
        <v>32000000</v>
      </c>
      <c r="E26" s="33" t="n">
        <v>0.5115</v>
      </c>
      <c r="F26" s="33" t="n">
        <v>0.00019495167</v>
      </c>
      <c r="G26" s="33" t="n">
        <v>5e-05</v>
      </c>
      <c r="H26" s="33" t="n">
        <v>0.00058143</v>
      </c>
      <c r="I26" s="33" t="n">
        <v>6</v>
      </c>
      <c r="L26" s="33" t="n">
        <v>8600000</v>
      </c>
      <c r="O26" s="33" t="n">
        <v>1.1817</v>
      </c>
      <c r="P26" s="33" t="n">
        <v>0.4678</v>
      </c>
      <c r="Q26" s="33" t="n">
        <v>0.5101</v>
      </c>
      <c r="R26" s="33">
        <f>IFERROR(O26/P26,"")</f>
        <v/>
      </c>
      <c r="S26" s="33">
        <f>IFERROR(AVERAGE(R24:R26),"")</f>
        <v/>
      </c>
      <c r="T26" s="33">
        <f>IFERROR(Q26/Q21,"")</f>
        <v/>
      </c>
      <c r="U26" s="33">
        <f>IFERROR(O26/O23-1,"")</f>
        <v/>
      </c>
      <c r="V26" s="33">
        <f>IFERROR(P26/P23-1,"")</f>
        <v/>
      </c>
      <c r="AJ26" s="33">
        <f>IF(OR(AB26="",D26="",D26=0),"",AB26/D26)</f>
        <v/>
      </c>
    </row>
    <row r="27">
      <c r="A27" s="33" t="inlineStr">
        <is>
          <t>2026-06-19</t>
        </is>
      </c>
      <c r="B27" s="33" t="n">
        <v>0.14343497</v>
      </c>
      <c r="C27" s="33">
        <f>IFERROR(B27/B26-1,"")</f>
        <v/>
      </c>
      <c r="D27" s="33" t="n">
        <v>9100000</v>
      </c>
      <c r="E27" s="33" t="n">
        <v>0.5219</v>
      </c>
      <c r="F27" s="33" t="n">
        <v>8.0766667e-05</v>
      </c>
      <c r="G27" s="33" t="n">
        <v>5e-05</v>
      </c>
      <c r="H27" s="33" t="n">
        <v>0.00014258</v>
      </c>
      <c r="I27" s="33" t="n">
        <v>6</v>
      </c>
      <c r="L27" s="33" t="n">
        <v>4900000</v>
      </c>
      <c r="O27" s="33" t="n">
        <v>1.4838</v>
      </c>
      <c r="P27" s="33" t="n">
        <v>0.8179</v>
      </c>
      <c r="Q27" s="33" t="n">
        <v>0.8443000000000001</v>
      </c>
      <c r="R27" s="33">
        <f>IFERROR(O27/P27,"")</f>
        <v/>
      </c>
      <c r="S27" s="33">
        <f>IFERROR(AVERAGE(R25:R27),"")</f>
        <v/>
      </c>
      <c r="T27" s="33">
        <f>IFERROR(Q27/Q22,"")</f>
        <v/>
      </c>
      <c r="U27" s="33">
        <f>IFERROR(O27/O24-1,"")</f>
        <v/>
      </c>
      <c r="V27" s="33">
        <f>IFERROR(P27/P24-1,"")</f>
        <v/>
      </c>
      <c r="AJ27" s="33">
        <f>IF(OR(AB27="",D27="",D27=0),"",AB27/D27)</f>
        <v/>
      </c>
    </row>
    <row r="28">
      <c r="A28" s="33" t="inlineStr">
        <is>
          <t>2026-06-20</t>
        </is>
      </c>
      <c r="B28" s="33" t="n">
        <v>0.14014733</v>
      </c>
      <c r="C28" s="33">
        <f>IFERROR(B28/B27-1,"")</f>
        <v/>
      </c>
      <c r="D28" s="33" t="n">
        <v>2900000</v>
      </c>
      <c r="E28" s="33" t="n">
        <v>0.539</v>
      </c>
      <c r="F28" s="33" t="n">
        <v>5e-05</v>
      </c>
      <c r="G28" s="33" t="n">
        <v>5e-05</v>
      </c>
      <c r="H28" s="33" t="n">
        <v>5e-05</v>
      </c>
      <c r="I28" s="33" t="n">
        <v>6</v>
      </c>
      <c r="L28" s="33" t="n">
        <v>4300000</v>
      </c>
      <c r="O28" s="33" t="n">
        <v>1.5312</v>
      </c>
      <c r="P28" s="33" t="n">
        <v>0.8783</v>
      </c>
      <c r="Q28" s="33" t="n">
        <v>0.9346</v>
      </c>
      <c r="R28" s="33">
        <f>IFERROR(O28/P28,"")</f>
        <v/>
      </c>
      <c r="S28" s="33">
        <f>IFERROR(AVERAGE(R26:R28),"")</f>
        <v/>
      </c>
      <c r="T28" s="33">
        <f>IFERROR(Q28/Q23,"")</f>
        <v/>
      </c>
      <c r="U28" s="33">
        <f>IFERROR(O28/O25-1,"")</f>
        <v/>
      </c>
      <c r="V28" s="33">
        <f>IFERROR(P28/P25-1,"")</f>
        <v/>
      </c>
      <c r="AJ28" s="33">
        <f>IF(OR(AB28="",D28="",D28=0),"",AB28/D28)</f>
        <v/>
      </c>
    </row>
    <row r="29">
      <c r="A29" s="33" t="inlineStr">
        <is>
          <t>2026-06-21</t>
        </is>
      </c>
      <c r="B29" s="33" t="n">
        <v>0.14558627</v>
      </c>
      <c r="C29" s="33">
        <f>IFERROR(B29/B28-1,"")</f>
        <v/>
      </c>
      <c r="D29" s="33" t="n">
        <v>3900000</v>
      </c>
      <c r="E29" s="33" t="n">
        <v>0.5097</v>
      </c>
      <c r="F29" s="33" t="n">
        <v>8.828666700000001e-05</v>
      </c>
      <c r="G29" s="33" t="n">
        <v>5e-05</v>
      </c>
      <c r="H29" s="33" t="n">
        <v>0.00026908</v>
      </c>
      <c r="I29" s="33" t="n">
        <v>6</v>
      </c>
      <c r="L29" s="33" t="n">
        <v>4000000</v>
      </c>
      <c r="O29" s="33" t="n">
        <v>1.5994</v>
      </c>
      <c r="P29" s="33" t="n">
        <v>0.9841</v>
      </c>
      <c r="Q29" s="33" t="n">
        <v>1.0379</v>
      </c>
      <c r="R29" s="33">
        <f>IFERROR(O29/P29,"")</f>
        <v/>
      </c>
      <c r="S29" s="33">
        <f>IFERROR(AVERAGE(R27:R29),"")</f>
        <v/>
      </c>
      <c r="T29" s="33">
        <f>IFERROR(Q29/Q24,"")</f>
        <v/>
      </c>
      <c r="U29" s="33">
        <f>IFERROR(O29/O26-1,"")</f>
        <v/>
      </c>
      <c r="V29" s="33">
        <f>IFERROR(P29/P26-1,"")</f>
        <v/>
      </c>
      <c r="AJ29" s="33">
        <f>IF(OR(AB29="",D29="",D29=0),"",AB29/D29)</f>
        <v/>
      </c>
    </row>
    <row r="30">
      <c r="A30" s="33" t="inlineStr">
        <is>
          <t>2026-06-22</t>
        </is>
      </c>
      <c r="B30" s="33" t="n">
        <v>0.14072484</v>
      </c>
      <c r="C30" s="33">
        <f>IFERROR(B30/B29-1,"")</f>
        <v/>
      </c>
      <c r="D30" s="33" t="n">
        <v>3100000</v>
      </c>
      <c r="E30" s="33" t="n">
        <v>0.4863</v>
      </c>
      <c r="F30" s="33" t="n">
        <v>8.498666699999999e-05</v>
      </c>
      <c r="G30" s="33" t="n">
        <v>5e-05</v>
      </c>
      <c r="H30" s="33" t="n">
        <v>0.0001894</v>
      </c>
      <c r="I30" s="33" t="n">
        <v>6</v>
      </c>
      <c r="L30" s="33" t="n">
        <v>4200000</v>
      </c>
      <c r="O30" s="33" t="n">
        <v>1.5726</v>
      </c>
      <c r="P30" s="33" t="n">
        <v>1.1349</v>
      </c>
      <c r="Q30" s="33" t="n">
        <v>1.2665</v>
      </c>
      <c r="R30" s="33">
        <f>IFERROR(O30/P30,"")</f>
        <v/>
      </c>
      <c r="S30" s="33">
        <f>IFERROR(AVERAGE(R28:R30),"")</f>
        <v/>
      </c>
      <c r="T30" s="33">
        <f>IFERROR(Q30/Q25,"")</f>
        <v/>
      </c>
      <c r="U30" s="33">
        <f>IFERROR(O30/O27-1,"")</f>
        <v/>
      </c>
      <c r="V30" s="33">
        <f>IFERROR(P30/P27-1,"")</f>
        <v/>
      </c>
      <c r="AJ30" s="33">
        <f>IF(OR(AB30="",D30="",D30=0),"",AB30/D30)</f>
        <v/>
      </c>
    </row>
    <row r="31">
      <c r="A31" s="33" t="inlineStr">
        <is>
          <t>2026-06-23</t>
        </is>
      </c>
      <c r="B31" s="33" t="n">
        <v>0.16546697</v>
      </c>
      <c r="C31" s="33">
        <f>IFERROR(B31/B30-1,"")</f>
        <v/>
      </c>
      <c r="D31" s="33" t="n">
        <v>24000000</v>
      </c>
      <c r="E31" s="33" t="n">
        <v>0.4965</v>
      </c>
      <c r="F31" s="33" t="n">
        <v>0.00020984333</v>
      </c>
      <c r="G31" s="33" t="n">
        <v>5e-05</v>
      </c>
      <c r="H31" s="33" t="n">
        <v>0.00032523</v>
      </c>
      <c r="I31" s="33" t="n">
        <v>6</v>
      </c>
      <c r="L31" s="33" t="n">
        <v>4000000</v>
      </c>
      <c r="O31" s="33" t="n">
        <v>1.646</v>
      </c>
      <c r="P31" s="33" t="n">
        <v>1.1053</v>
      </c>
      <c r="Q31" s="33" t="n">
        <v>1.2795</v>
      </c>
      <c r="R31" s="33">
        <f>IFERROR(O31/P31,"")</f>
        <v/>
      </c>
      <c r="S31" s="33">
        <f>IFERROR(AVERAGE(R29:R31),"")</f>
        <v/>
      </c>
      <c r="T31" s="33">
        <f>IFERROR(Q31/Q26,"")</f>
        <v/>
      </c>
      <c r="U31" s="33">
        <f>IFERROR(O31/O28-1,"")</f>
        <v/>
      </c>
      <c r="V31" s="33">
        <f>IFERROR(P31/P28-1,"")</f>
        <v/>
      </c>
      <c r="AJ31" s="33">
        <f>IF(OR(AB31="",D31="",D31=0),"",AB31/D31)</f>
        <v/>
      </c>
    </row>
    <row r="32">
      <c r="A32" s="33" t="inlineStr">
        <is>
          <t>2026-06-24</t>
        </is>
      </c>
      <c r="B32" s="33" t="n">
        <v>0.15504797</v>
      </c>
      <c r="C32" s="33">
        <f>IFERROR(B32/B31-1,"")</f>
        <v/>
      </c>
      <c r="D32" s="33" t="n">
        <v>11000000</v>
      </c>
      <c r="E32" s="33" t="n">
        <v>0.4897</v>
      </c>
      <c r="F32" s="33" t="n">
        <v>0.00010257</v>
      </c>
      <c r="G32" s="33" t="n">
        <v>5e-05</v>
      </c>
      <c r="H32" s="33" t="n">
        <v>0.00019591</v>
      </c>
      <c r="I32" s="33" t="n">
        <v>6</v>
      </c>
      <c r="L32" s="33" t="n">
        <v>5400000</v>
      </c>
      <c r="O32" s="33" t="n">
        <v>1.456</v>
      </c>
      <c r="P32" s="33" t="n">
        <v>1.0173</v>
      </c>
      <c r="Q32" s="33" t="n">
        <v>1.1422</v>
      </c>
      <c r="R32" s="33">
        <f>IFERROR(O32/P32,"")</f>
        <v/>
      </c>
      <c r="S32" s="33">
        <f>IFERROR(AVERAGE(R30:R32),"")</f>
        <v/>
      </c>
      <c r="T32" s="33">
        <f>IFERROR(Q32/Q27,"")</f>
        <v/>
      </c>
      <c r="U32" s="33">
        <f>IFERROR(O32/O29-1,"")</f>
        <v/>
      </c>
      <c r="V32" s="33">
        <f>IFERROR(P32/P29-1,"")</f>
        <v/>
      </c>
      <c r="AJ32" s="33">
        <f>IF(OR(AB32="",D32="",D32=0),"",AB32/D32)</f>
        <v/>
      </c>
    </row>
    <row r="33">
      <c r="A33" s="33" t="inlineStr">
        <is>
          <t>2026-06-25</t>
        </is>
      </c>
      <c r="B33" s="33" t="n">
        <v>0.14956725</v>
      </c>
      <c r="C33" s="33">
        <f>IFERROR(B33/B32-1,"")</f>
        <v/>
      </c>
      <c r="D33" s="33" t="n">
        <v>3700000</v>
      </c>
      <c r="E33" s="33" t="n">
        <v>0.4943</v>
      </c>
      <c r="F33" s="33" t="n">
        <v>5e-05</v>
      </c>
      <c r="G33" s="33" t="n">
        <v>5e-05</v>
      </c>
      <c r="H33" s="33" t="n">
        <v>5e-05</v>
      </c>
      <c r="I33" s="33" t="n">
        <v>6</v>
      </c>
      <c r="L33" s="33" t="n">
        <v>4000000</v>
      </c>
      <c r="O33" s="33" t="n">
        <v>1.6679</v>
      </c>
      <c r="P33" s="33" t="n">
        <v>1.2472</v>
      </c>
      <c r="Q33" s="33" t="n">
        <v>1.3277</v>
      </c>
      <c r="R33" s="33">
        <f>IFERROR(O33/P33,"")</f>
        <v/>
      </c>
      <c r="S33" s="33">
        <f>IFERROR(AVERAGE(R31:R33),"")</f>
        <v/>
      </c>
      <c r="T33" s="33">
        <f>IFERROR(Q33/Q28,"")</f>
        <v/>
      </c>
      <c r="U33" s="33">
        <f>IFERROR(O33/O30-1,"")</f>
        <v/>
      </c>
      <c r="V33" s="33">
        <f>IFERROR(P33/P30-1,"")</f>
        <v/>
      </c>
      <c r="AJ33" s="33">
        <f>IF(OR(AB33="",D33="",D33=0),"",AB33/D33)</f>
        <v/>
      </c>
    </row>
    <row r="34">
      <c r="A34" s="33" t="inlineStr">
        <is>
          <t>2026-06-26</t>
        </is>
      </c>
      <c r="B34" s="33" t="n">
        <v>0.14180981</v>
      </c>
      <c r="C34" s="33">
        <f>IFERROR(B34/B33-1,"")</f>
        <v/>
      </c>
      <c r="D34" s="33" t="n">
        <v>2600000</v>
      </c>
      <c r="E34" s="33" t="n">
        <v>0.4794</v>
      </c>
      <c r="F34" s="33" t="n">
        <v>5e-05</v>
      </c>
      <c r="G34" s="33" t="n">
        <v>5e-05</v>
      </c>
      <c r="H34" s="33" t="n">
        <v>5e-05</v>
      </c>
      <c r="I34" s="33" t="n">
        <v>6</v>
      </c>
      <c r="L34" s="33" t="n">
        <v>3800000</v>
      </c>
      <c r="O34" s="33" t="n">
        <v>1.6511</v>
      </c>
      <c r="P34" s="33" t="n">
        <v>1.2624</v>
      </c>
      <c r="Q34" s="33" t="n">
        <v>1.4201</v>
      </c>
      <c r="R34" s="33">
        <f>IFERROR(O34/P34,"")</f>
        <v/>
      </c>
      <c r="S34" s="33">
        <f>IFERROR(AVERAGE(R32:R34),"")</f>
        <v/>
      </c>
      <c r="T34" s="33">
        <f>IFERROR(Q34/Q29,"")</f>
        <v/>
      </c>
      <c r="U34" s="33">
        <f>IFERROR(O34/O31-1,"")</f>
        <v/>
      </c>
      <c r="V34" s="33">
        <f>IFERROR(P34/P31-1,"")</f>
        <v/>
      </c>
      <c r="AJ34" s="33">
        <f>IF(OR(AB34="",D34="",D34=0),"",AB34/D34)</f>
        <v/>
      </c>
    </row>
    <row r="35">
      <c r="A35" s="33" t="inlineStr">
        <is>
          <t>2026-06-27</t>
        </is>
      </c>
      <c r="B35" s="33" t="n">
        <v>0.15485471</v>
      </c>
      <c r="C35" s="33">
        <f>IFERROR(B35/B34-1,"")</f>
        <v/>
      </c>
      <c r="D35" s="33" t="n">
        <v>9600000</v>
      </c>
      <c r="E35" s="33" t="n">
        <v>0.4935</v>
      </c>
      <c r="F35" s="33" t="n">
        <v>5.0966667e-05</v>
      </c>
      <c r="G35" s="33" t="n">
        <v>5e-05</v>
      </c>
      <c r="H35" s="33" t="n">
        <v>5.58e-05</v>
      </c>
      <c r="I35" s="33" t="n">
        <v>6</v>
      </c>
      <c r="L35" s="33" t="n">
        <v>3700000</v>
      </c>
      <c r="O35" s="33" t="n">
        <v>1.6685</v>
      </c>
      <c r="P35" s="33" t="n">
        <v>1.2701</v>
      </c>
      <c r="Q35" s="33" t="n">
        <v>1.4319</v>
      </c>
      <c r="R35" s="33">
        <f>IFERROR(O35/P35,"")</f>
        <v/>
      </c>
      <c r="S35" s="33">
        <f>IFERROR(AVERAGE(R33:R35),"")</f>
        <v/>
      </c>
      <c r="T35" s="33">
        <f>IFERROR(Q35/Q30,"")</f>
        <v/>
      </c>
      <c r="U35" s="33">
        <f>IFERROR(O35/O32-1,"")</f>
        <v/>
      </c>
      <c r="V35" s="33">
        <f>IFERROR(P35/P32-1,"")</f>
        <v/>
      </c>
      <c r="AJ35" s="33">
        <f>IF(OR(AB35="",D35="",D35=0),"",AB35/D35)</f>
        <v/>
      </c>
    </row>
    <row r="36">
      <c r="A36" s="33" t="inlineStr">
        <is>
          <t>2026-06-28</t>
        </is>
      </c>
      <c r="B36" s="33" t="n">
        <v>0.1408509</v>
      </c>
      <c r="C36" s="33">
        <f>IFERROR(B36/B35-1,"")</f>
        <v/>
      </c>
      <c r="D36" s="33" t="n">
        <v>7800000</v>
      </c>
      <c r="E36" s="33" t="n">
        <v>0.4773</v>
      </c>
      <c r="F36" s="33" t="n">
        <v>5e-05</v>
      </c>
      <c r="G36" s="33" t="n">
        <v>5e-05</v>
      </c>
      <c r="H36" s="33" t="n">
        <v>5e-05</v>
      </c>
      <c r="I36" s="33" t="n">
        <v>6</v>
      </c>
      <c r="L36" s="33" t="n">
        <v>3800000</v>
      </c>
      <c r="O36" s="33" t="n">
        <v>1.6399</v>
      </c>
      <c r="P36" s="33" t="n">
        <v>1.2311</v>
      </c>
      <c r="Q36" s="33" t="n">
        <v>1.4576</v>
      </c>
      <c r="R36" s="33">
        <f>IFERROR(O36/P36,"")</f>
        <v/>
      </c>
      <c r="S36" s="33">
        <f>IFERROR(AVERAGE(R34:R36),"")</f>
        <v/>
      </c>
      <c r="T36" s="33">
        <f>IFERROR(Q36/Q31,"")</f>
        <v/>
      </c>
      <c r="U36" s="33">
        <f>IFERROR(O36/O33-1,"")</f>
        <v/>
      </c>
      <c r="V36" s="33">
        <f>IFERROR(P36/P33-1,"")</f>
        <v/>
      </c>
      <c r="AJ36" s="33">
        <f>IF(OR(AB36="",D36="",D36=0),"",AB36/D36)</f>
        <v/>
      </c>
    </row>
    <row r="37">
      <c r="A37" s="33" t="inlineStr">
        <is>
          <t>2026-06-29</t>
        </is>
      </c>
      <c r="B37" s="33" t="n">
        <v>0.15507715</v>
      </c>
      <c r="C37" s="33">
        <f>IFERROR(B37/B36-1,"")</f>
        <v/>
      </c>
      <c r="D37" s="33" t="n">
        <v>10000000</v>
      </c>
      <c r="E37" s="33" t="n">
        <v>0.4991</v>
      </c>
      <c r="F37" s="33" t="n">
        <v>5.3536667e-05</v>
      </c>
      <c r="G37" s="33" t="n">
        <v>5e-05</v>
      </c>
      <c r="H37" s="33" t="n">
        <v>7.122e-05</v>
      </c>
      <c r="I37" s="33" t="n">
        <v>6</v>
      </c>
      <c r="L37" s="33" t="n">
        <v>3900000</v>
      </c>
      <c r="O37" s="33" t="n">
        <v>1.6776</v>
      </c>
      <c r="P37" s="33" t="n">
        <v>1.2316</v>
      </c>
      <c r="Q37" s="33" t="n">
        <v>1.4131</v>
      </c>
      <c r="R37" s="33">
        <f>IFERROR(O37/P37,"")</f>
        <v/>
      </c>
      <c r="S37" s="33">
        <f>IFERROR(AVERAGE(R35:R37),"")</f>
        <v/>
      </c>
      <c r="T37" s="33">
        <f>IFERROR(Q37/Q32,"")</f>
        <v/>
      </c>
      <c r="U37" s="33">
        <f>IFERROR(O37/O34-1,"")</f>
        <v/>
      </c>
      <c r="V37" s="33">
        <f>IFERROR(P37/P34-1,"")</f>
        <v/>
      </c>
      <c r="AJ37" s="33">
        <f>IF(OR(AB37="",D37="",D37=0),"",AB37/D37)</f>
        <v/>
      </c>
    </row>
    <row r="38">
      <c r="A38" s="33" t="inlineStr">
        <is>
          <t>2026-06-30</t>
        </is>
      </c>
      <c r="B38" s="33" t="n">
        <v>0.1432963</v>
      </c>
      <c r="C38" s="33">
        <f>IFERROR(B38/B37-1,"")</f>
        <v/>
      </c>
      <c r="D38" s="33" t="n">
        <v>3900000</v>
      </c>
      <c r="E38" s="33" t="n">
        <v>0.5014</v>
      </c>
      <c r="F38" s="33" t="n">
        <v>6.0115e-05</v>
      </c>
      <c r="G38" s="33" t="n">
        <v>5e-05</v>
      </c>
      <c r="H38" s="33" t="n">
        <v>9.849e-05</v>
      </c>
      <c r="I38" s="33" t="n">
        <v>6</v>
      </c>
      <c r="L38" s="33" t="n">
        <v>3700000</v>
      </c>
      <c r="O38" s="33" t="n">
        <v>1.588</v>
      </c>
      <c r="P38" s="33" t="n">
        <v>1.3502</v>
      </c>
      <c r="Q38" s="33" t="n">
        <v>1.588</v>
      </c>
      <c r="R38" s="33">
        <f>IFERROR(O38/P38,"")</f>
        <v/>
      </c>
      <c r="S38" s="33">
        <f>IFERROR(AVERAGE(R36:R38),"")</f>
        <v/>
      </c>
      <c r="T38" s="33">
        <f>IFERROR(Q38/Q33,"")</f>
        <v/>
      </c>
      <c r="U38" s="33">
        <f>IFERROR(O38/O35-1,"")</f>
        <v/>
      </c>
      <c r="V38" s="33">
        <f>IFERROR(P38/P35-1,"")</f>
        <v/>
      </c>
      <c r="AJ38" s="33">
        <f>IF(OR(AB38="",D38="",D38=0),"",AB38/D38)</f>
        <v/>
      </c>
    </row>
    <row r="39">
      <c r="A39" s="33" t="inlineStr">
        <is>
          <t>2026-07-01</t>
        </is>
      </c>
      <c r="B39" s="33" t="n">
        <v>0.14739071</v>
      </c>
      <c r="C39" s="33">
        <f>IFERROR(B39/B38-1,"")</f>
        <v/>
      </c>
      <c r="D39" s="33" t="n">
        <v>3700000</v>
      </c>
      <c r="E39" s="33" t="n">
        <v>0.4994</v>
      </c>
      <c r="F39" s="33" t="n">
        <v>6.6176667e-05</v>
      </c>
      <c r="G39" s="33" t="n">
        <v>5e-05</v>
      </c>
      <c r="H39" s="33" t="n">
        <v>0.000104</v>
      </c>
      <c r="I39" s="33" t="n">
        <v>6</v>
      </c>
      <c r="L39" s="33" t="n">
        <v>3800000</v>
      </c>
      <c r="O39" s="33" t="n">
        <v>1.5481</v>
      </c>
      <c r="P39" s="33" t="n">
        <v>1.3918</v>
      </c>
      <c r="Q39" s="33" t="n">
        <v>1.6788</v>
      </c>
      <c r="R39" s="33">
        <f>IFERROR(O39/P39,"")</f>
        <v/>
      </c>
      <c r="S39" s="33">
        <f>IFERROR(AVERAGE(R37:R39),"")</f>
        <v/>
      </c>
      <c r="T39" s="33">
        <f>IFERROR(Q39/Q34,"")</f>
        <v/>
      </c>
      <c r="U39" s="33">
        <f>IFERROR(O39/O36-1,"")</f>
        <v/>
      </c>
      <c r="V39" s="33">
        <f>IFERROR(P39/P36-1,"")</f>
        <v/>
      </c>
      <c r="AJ39" s="33">
        <f>IF(OR(AB39="",D39="",D39=0),"",AB39/D39)</f>
        <v/>
      </c>
    </row>
    <row r="40">
      <c r="A40" s="33" t="inlineStr">
        <is>
          <t>2026-07-02</t>
        </is>
      </c>
      <c r="B40" s="33" t="n">
        <v>0.15204803</v>
      </c>
      <c r="C40" s="33">
        <f>IFERROR(B40/B39-1,"")</f>
        <v/>
      </c>
      <c r="D40" s="33" t="n">
        <v>4700000</v>
      </c>
      <c r="E40" s="33" t="n">
        <v>0.4888</v>
      </c>
      <c r="F40" s="33" t="n">
        <v>5.2778333e-05</v>
      </c>
      <c r="G40" s="33" t="n">
        <v>5e-05</v>
      </c>
      <c r="H40" s="33" t="n">
        <v>6.075e-05</v>
      </c>
      <c r="I40" s="33" t="n">
        <v>6</v>
      </c>
      <c r="L40" s="33" t="n">
        <v>3700000</v>
      </c>
      <c r="O40" s="33" t="n">
        <v>1.5661</v>
      </c>
      <c r="P40" s="33" t="n">
        <v>1.5419</v>
      </c>
      <c r="Q40" s="33" t="n">
        <v>1.9869</v>
      </c>
      <c r="R40" s="33">
        <f>IFERROR(O40/P40,"")</f>
        <v/>
      </c>
      <c r="S40" s="33">
        <f>IFERROR(AVERAGE(R38:R40),"")</f>
        <v/>
      </c>
      <c r="T40" s="33">
        <f>IFERROR(Q40/Q35,"")</f>
        <v/>
      </c>
      <c r="U40" s="33">
        <f>IFERROR(O40/O37-1,"")</f>
        <v/>
      </c>
      <c r="V40" s="33">
        <f>IFERROR(P40/P37-1,"")</f>
        <v/>
      </c>
      <c r="AJ40" s="33">
        <f>IF(OR(AB40="",D40="",D40=0),"",AB40/D40)</f>
        <v/>
      </c>
    </row>
    <row r="41">
      <c r="A41" s="33" t="inlineStr">
        <is>
          <t>2026-07-03</t>
        </is>
      </c>
      <c r="B41" s="33" t="n">
        <v>0.15348848</v>
      </c>
      <c r="C41" s="33">
        <f>IFERROR(B41/B40-1,"")</f>
        <v/>
      </c>
      <c r="D41" s="33" t="n">
        <v>3600000</v>
      </c>
      <c r="E41" s="33" t="n">
        <v>0.4717</v>
      </c>
      <c r="F41" s="33" t="n">
        <v>9.3916667e-05</v>
      </c>
      <c r="G41" s="33" t="n">
        <v>5e-05</v>
      </c>
      <c r="H41" s="33" t="n">
        <v>0.00030111</v>
      </c>
      <c r="I41" s="33" t="n">
        <v>6</v>
      </c>
      <c r="L41" s="33" t="n">
        <v>4200000</v>
      </c>
      <c r="O41" s="33" t="n">
        <v>1.54</v>
      </c>
      <c r="P41" s="33" t="n">
        <v>1.4691</v>
      </c>
      <c r="Q41" s="33" t="n">
        <v>1.924</v>
      </c>
      <c r="R41" s="33">
        <f>IFERROR(O41/P41,"")</f>
        <v/>
      </c>
      <c r="S41" s="33">
        <f>IFERROR(AVERAGE(R39:R41),"")</f>
        <v/>
      </c>
      <c r="T41" s="33">
        <f>IFERROR(Q41/Q36,"")</f>
        <v/>
      </c>
      <c r="U41" s="33">
        <f>IFERROR(O41/O38-1,"")</f>
        <v/>
      </c>
      <c r="V41" s="33">
        <f>IFERROR(P41/P38-1,"")</f>
        <v/>
      </c>
      <c r="AJ41" s="33">
        <f>IF(OR(AB41="",D41="",D41=0),"",AB41/D41)</f>
        <v/>
      </c>
    </row>
    <row r="42">
      <c r="A42" s="33" t="inlineStr">
        <is>
          <t>2026-07-04</t>
        </is>
      </c>
      <c r="B42" s="33" t="n">
        <v>0.15156456</v>
      </c>
      <c r="C42" s="33">
        <f>IFERROR(B42/B41-1,"")</f>
        <v/>
      </c>
      <c r="D42" s="33" t="n">
        <v>2400000</v>
      </c>
      <c r="E42" s="33" t="n">
        <v>0.4882</v>
      </c>
      <c r="F42" s="33" t="n">
        <v>6.4121667e-05</v>
      </c>
      <c r="G42" s="33" t="n">
        <v>5e-05</v>
      </c>
      <c r="H42" s="33" t="n">
        <v>9.355e-05</v>
      </c>
      <c r="I42" s="33" t="n">
        <v>6</v>
      </c>
      <c r="L42" s="33" t="n">
        <v>3800000</v>
      </c>
      <c r="O42" s="33" t="n">
        <v>1.5323</v>
      </c>
      <c r="P42" s="33" t="n">
        <v>1.4408</v>
      </c>
      <c r="Q42" s="33" t="n">
        <v>1.9412</v>
      </c>
      <c r="R42" s="33">
        <f>IFERROR(O42/P42,"")</f>
        <v/>
      </c>
      <c r="S42" s="33">
        <f>IFERROR(AVERAGE(R40:R42),"")</f>
        <v/>
      </c>
      <c r="T42" s="33">
        <f>IFERROR(Q42/Q37,"")</f>
        <v/>
      </c>
      <c r="U42" s="33">
        <f>IFERROR(O42/O39-1,"")</f>
        <v/>
      </c>
      <c r="V42" s="33">
        <f>IFERROR(P42/P39-1,"")</f>
        <v/>
      </c>
      <c r="AJ42" s="33">
        <f>IF(OR(AB42="",D42="",D42=0),"",AB42/D42)</f>
        <v/>
      </c>
    </row>
    <row r="43">
      <c r="A43" s="33" t="inlineStr">
        <is>
          <t>2026-07-05</t>
        </is>
      </c>
      <c r="B43" s="33" t="n">
        <v>0.15015006</v>
      </c>
      <c r="C43" s="33">
        <f>IFERROR(B43/B42-1,"")</f>
        <v/>
      </c>
      <c r="D43" s="33" t="n">
        <v>1800000</v>
      </c>
      <c r="E43" s="33" t="n">
        <v>0.4838</v>
      </c>
      <c r="F43" s="33" t="n">
        <v>6.1806667e-05</v>
      </c>
      <c r="G43" s="33" t="n">
        <v>5e-05</v>
      </c>
      <c r="H43" s="33" t="n">
        <v>9.061e-05</v>
      </c>
      <c r="I43" s="33" t="n">
        <v>6</v>
      </c>
      <c r="L43" s="33" t="n">
        <v>4000000</v>
      </c>
      <c r="O43" s="33" t="n">
        <v>1.5337</v>
      </c>
      <c r="P43" s="33" t="n">
        <v>1.4021</v>
      </c>
      <c r="Q43" s="33" t="n">
        <v>1.8409</v>
      </c>
      <c r="R43" s="33">
        <f>IFERROR(O43/P43,"")</f>
        <v/>
      </c>
      <c r="S43" s="33">
        <f>IFERROR(AVERAGE(R41:R43),"")</f>
        <v/>
      </c>
      <c r="T43" s="33">
        <f>IFERROR(Q43/Q38,"")</f>
        <v/>
      </c>
      <c r="U43" s="33">
        <f>IFERROR(O43/O40-1,"")</f>
        <v/>
      </c>
      <c r="V43" s="33">
        <f>IFERROR(P43/P40-1,"")</f>
        <v/>
      </c>
      <c r="AJ43" s="33">
        <f>IF(OR(AB43="",D43="",D43=0),"",AB43/D43)</f>
        <v/>
      </c>
    </row>
    <row r="44">
      <c r="A44" s="33" t="inlineStr">
        <is>
          <t>2026-07-06</t>
        </is>
      </c>
      <c r="B44" s="33" t="n">
        <v>0.14347506</v>
      </c>
      <c r="C44" s="33">
        <f>IFERROR(B44/B43-1,"")</f>
        <v/>
      </c>
      <c r="D44" s="33" t="n">
        <v>3100000</v>
      </c>
      <c r="E44" s="33" t="n">
        <v>0.4586</v>
      </c>
      <c r="F44" s="33" t="n">
        <v>0.000159465</v>
      </c>
      <c r="G44" s="33" t="n">
        <v>5e-05</v>
      </c>
      <c r="H44" s="33" t="n">
        <v>0.00044125</v>
      </c>
      <c r="I44" s="33" t="n">
        <v>6</v>
      </c>
      <c r="L44" s="33" t="n">
        <v>3900000</v>
      </c>
      <c r="O44" s="33" t="n">
        <v>1.5496</v>
      </c>
      <c r="P44" s="33" t="n">
        <v>1.505</v>
      </c>
      <c r="Q44" s="33" t="n">
        <v>2.0039</v>
      </c>
      <c r="R44" s="33">
        <f>IFERROR(O44/P44,"")</f>
        <v/>
      </c>
      <c r="S44" s="33">
        <f>IFERROR(AVERAGE(R42:R44),"")</f>
        <v/>
      </c>
      <c r="T44" s="33">
        <f>IFERROR(Q44/Q39,"")</f>
        <v/>
      </c>
      <c r="U44" s="33">
        <f>IFERROR(O44/O41-1,"")</f>
        <v/>
      </c>
      <c r="V44" s="33">
        <f>IFERROR(P44/P41-1,"")</f>
        <v/>
      </c>
      <c r="AJ44" s="33">
        <f>IF(OR(AB44="",D44="",D44=0),"",AB44/D44)</f>
        <v/>
      </c>
    </row>
    <row r="45">
      <c r="A45" s="33" t="inlineStr">
        <is>
          <t>2026-07-07</t>
        </is>
      </c>
      <c r="B45" s="33" t="n">
        <v>0.14649589</v>
      </c>
      <c r="C45" s="33">
        <f>IFERROR(B45/B44-1,"")</f>
        <v/>
      </c>
      <c r="D45" s="33" t="n">
        <v>3100000</v>
      </c>
      <c r="E45" s="33" t="n">
        <v>0.4882</v>
      </c>
      <c r="F45" s="33" t="n">
        <v>5.0818333e-05</v>
      </c>
      <c r="G45" s="33" t="n">
        <v>5e-05</v>
      </c>
      <c r="H45" s="33" t="n">
        <v>5.491e-05</v>
      </c>
      <c r="I45" s="33" t="n">
        <v>6</v>
      </c>
      <c r="L45" s="33" t="n">
        <v>3800000</v>
      </c>
      <c r="O45" s="33" t="n">
        <v>1.556</v>
      </c>
      <c r="P45" s="33" t="n">
        <v>1.5445</v>
      </c>
      <c r="Q45" s="33" t="n">
        <v>1.9797</v>
      </c>
      <c r="R45" s="33">
        <f>IFERROR(O45/P45,"")</f>
        <v/>
      </c>
      <c r="S45" s="33">
        <f>IFERROR(AVERAGE(R43:R45),"")</f>
        <v/>
      </c>
      <c r="T45" s="33">
        <f>IFERROR(Q45/Q40,"")</f>
        <v/>
      </c>
      <c r="U45" s="33">
        <f>IFERROR(O45/O42-1,"")</f>
        <v/>
      </c>
      <c r="V45" s="33">
        <f>IFERROR(P45/P42-1,"")</f>
        <v/>
      </c>
      <c r="AJ45" s="33">
        <f>IF(OR(AB45="",D45="",D45=0),"",AB45/D45)</f>
        <v/>
      </c>
    </row>
    <row r="46">
      <c r="A46" s="33" t="inlineStr">
        <is>
          <t>2026-07-08</t>
        </is>
      </c>
      <c r="B46" s="33" t="n">
        <v>0.14401221</v>
      </c>
      <c r="C46" s="33">
        <f>IFERROR(B46/B45-1,"")</f>
        <v/>
      </c>
      <c r="D46" s="33" t="n">
        <v>2900000</v>
      </c>
      <c r="E46" s="33" t="n">
        <v>0.5201</v>
      </c>
      <c r="F46" s="33" t="n">
        <v>5.9325e-05</v>
      </c>
      <c r="G46" s="33" t="n">
        <v>5e-05</v>
      </c>
      <c r="H46" s="33" t="n">
        <v>0.00010595</v>
      </c>
      <c r="I46" s="33" t="n">
        <v>6</v>
      </c>
      <c r="L46" s="33" t="n">
        <v>3700000</v>
      </c>
      <c r="O46" s="33" t="n">
        <v>1.5864</v>
      </c>
      <c r="P46" s="33" t="n">
        <v>1.4969</v>
      </c>
      <c r="Q46" s="33" t="n">
        <v>1.9638</v>
      </c>
      <c r="R46" s="33">
        <f>IFERROR(O46/P46,"")</f>
        <v/>
      </c>
      <c r="S46" s="33">
        <f>IFERROR(AVERAGE(R44:R46),"")</f>
        <v/>
      </c>
      <c r="T46" s="33">
        <f>IFERROR(Q46/Q41,"")</f>
        <v/>
      </c>
      <c r="U46" s="33">
        <f>IFERROR(O46/O43-1,"")</f>
        <v/>
      </c>
      <c r="V46" s="33">
        <f>IFERROR(P46/P43-1,"")</f>
        <v/>
      </c>
      <c r="AJ46" s="33">
        <f>IF(OR(AB46="",D46="",D46=0),"",AB46/D46)</f>
        <v/>
      </c>
    </row>
    <row r="47">
      <c r="A47" s="33" t="inlineStr">
        <is>
          <t>2026-07-09</t>
        </is>
      </c>
      <c r="B47" s="33" t="n">
        <v>0.14751138</v>
      </c>
      <c r="C47" s="33">
        <f>IFERROR(B47/B46-1,"")</f>
        <v/>
      </c>
      <c r="D47" s="33" t="n">
        <v>1800000</v>
      </c>
      <c r="E47" s="33" t="n">
        <v>0.5019</v>
      </c>
      <c r="F47" s="33" t="n">
        <v>0.00011703333</v>
      </c>
      <c r="G47" s="33" t="n">
        <v>5e-05</v>
      </c>
      <c r="H47" s="33" t="n">
        <v>0.00030366</v>
      </c>
      <c r="I47" s="33" t="n">
        <v>6</v>
      </c>
      <c r="L47" s="33" t="n">
        <v>3800000</v>
      </c>
      <c r="O47" s="33" t="n">
        <v>1.587</v>
      </c>
      <c r="P47" s="33" t="n">
        <v>1.4073</v>
      </c>
      <c r="Q47" s="33" t="n">
        <v>1.881</v>
      </c>
      <c r="R47" s="33">
        <f>IFERROR(O47/P47,"")</f>
        <v/>
      </c>
      <c r="S47" s="33">
        <f>IFERROR(AVERAGE(R45:R47),"")</f>
        <v/>
      </c>
      <c r="T47" s="33">
        <f>IFERROR(Q47/Q42,"")</f>
        <v/>
      </c>
      <c r="U47" s="33">
        <f>IFERROR(O47/O44-1,"")</f>
        <v/>
      </c>
      <c r="V47" s="33">
        <f>IFERROR(P47/P44-1,"")</f>
        <v/>
      </c>
      <c r="AJ47" s="33">
        <f>IF(OR(AB47="",D47="",D47=0),"",AB47/D47)</f>
        <v/>
      </c>
    </row>
    <row r="48">
      <c r="A48" s="33" t="inlineStr">
        <is>
          <t>2026-07-10</t>
        </is>
      </c>
      <c r="B48" s="33" t="n">
        <v>0.15097967</v>
      </c>
      <c r="C48" s="33">
        <f>IFERROR(B48/B47-1,"")</f>
        <v/>
      </c>
      <c r="D48" s="33" t="n">
        <v>1700000</v>
      </c>
      <c r="E48" s="33" t="n">
        <v>0.524</v>
      </c>
      <c r="F48" s="33" t="n">
        <v>0.00027251833</v>
      </c>
      <c r="G48" s="33" t="n">
        <v>5e-05</v>
      </c>
      <c r="H48" s="33" t="n">
        <v>0.00048417</v>
      </c>
      <c r="I48" s="33" t="n">
        <v>6</v>
      </c>
      <c r="L48" s="33" t="n">
        <v>3800000</v>
      </c>
      <c r="O48" s="33" t="n">
        <v>1.5628</v>
      </c>
      <c r="P48" s="33" t="n">
        <v>1.482</v>
      </c>
      <c r="Q48" s="33" t="n">
        <v>1.978</v>
      </c>
      <c r="R48" s="33">
        <f>IFERROR(O48/P48,"")</f>
        <v/>
      </c>
      <c r="S48" s="33">
        <f>IFERROR(AVERAGE(R46:R48),"")</f>
        <v/>
      </c>
      <c r="T48" s="33">
        <f>IFERROR(Q48/Q43,"")</f>
        <v/>
      </c>
      <c r="U48" s="33">
        <f>IFERROR(O48/O45-1,"")</f>
        <v/>
      </c>
      <c r="V48" s="33">
        <f>IFERROR(P48/P45-1,"")</f>
        <v/>
      </c>
      <c r="AJ48" s="33">
        <f>IF(OR(AB48="",D48="",D48=0),"",AB48/D48)</f>
        <v/>
      </c>
    </row>
    <row r="49">
      <c r="A49" s="33" t="inlineStr">
        <is>
          <t>2026-07-11</t>
        </is>
      </c>
      <c r="B49" s="33" t="n">
        <v>0.14684948</v>
      </c>
      <c r="C49" s="33">
        <f>IFERROR(B49/B48-1,"")</f>
        <v/>
      </c>
      <c r="D49" s="33" t="n">
        <v>1700000</v>
      </c>
      <c r="E49" s="33" t="n">
        <v>0.4459</v>
      </c>
      <c r="F49" s="33" t="n">
        <v>0.00011145167</v>
      </c>
      <c r="G49" s="33" t="n">
        <v>5e-05</v>
      </c>
      <c r="H49" s="33" t="n">
        <v>0.00030935</v>
      </c>
      <c r="I49" s="33" t="n">
        <v>6</v>
      </c>
      <c r="L49" s="33" t="n">
        <v>4000000</v>
      </c>
      <c r="O49" s="33" t="n">
        <v>1.5887</v>
      </c>
      <c r="P49" s="33" t="n">
        <v>1.4492</v>
      </c>
      <c r="Q49" s="33" t="n">
        <v>2.0039</v>
      </c>
      <c r="R49" s="33">
        <f>IFERROR(O49/P49,"")</f>
        <v/>
      </c>
      <c r="S49" s="33">
        <f>IFERROR(AVERAGE(R47:R49),"")</f>
        <v/>
      </c>
      <c r="T49" s="33">
        <f>IFERROR(Q49/Q44,"")</f>
        <v/>
      </c>
      <c r="U49" s="33">
        <f>IFERROR(O49/O46-1,"")</f>
        <v/>
      </c>
      <c r="V49" s="33">
        <f>IFERROR(P49/P46-1,"")</f>
        <v/>
      </c>
      <c r="AJ49" s="33">
        <f>IF(OR(AB49="",D49="",D49=0),"",AB49/D49)</f>
        <v/>
      </c>
    </row>
    <row r="50">
      <c r="A50" s="33" t="inlineStr">
        <is>
          <t>2026-07-12</t>
        </is>
      </c>
      <c r="B50" s="33" t="n">
        <v>0.14515146</v>
      </c>
      <c r="C50" s="33">
        <f>IFERROR(B50/B49-1,"")</f>
        <v/>
      </c>
      <c r="D50" s="33" t="n">
        <v>1300000</v>
      </c>
      <c r="E50" s="33" t="n">
        <v>0.4889</v>
      </c>
      <c r="F50" s="33" t="n">
        <v>7.4968333e-05</v>
      </c>
      <c r="G50" s="33" t="n">
        <v>5e-05</v>
      </c>
      <c r="H50" s="33" t="n">
        <v>0.00019981</v>
      </c>
      <c r="I50" s="33" t="n">
        <v>6</v>
      </c>
      <c r="L50" s="33" t="n">
        <v>3900000</v>
      </c>
      <c r="O50" s="33" t="n">
        <v>1.583</v>
      </c>
      <c r="P50" s="33" t="n">
        <v>1.4027</v>
      </c>
      <c r="Q50" s="33" t="n">
        <v>1.9976</v>
      </c>
      <c r="R50" s="33">
        <f>IFERROR(O50/P50,"")</f>
        <v/>
      </c>
      <c r="S50" s="33">
        <f>IFERROR(AVERAGE(R48:R50),"")</f>
        <v/>
      </c>
      <c r="T50" s="33">
        <f>IFERROR(Q50/Q45,"")</f>
        <v/>
      </c>
      <c r="U50" s="33">
        <f>IFERROR(O50/O47-1,"")</f>
        <v/>
      </c>
      <c r="V50" s="33">
        <f>IFERROR(P50/P47-1,"")</f>
        <v/>
      </c>
      <c r="AJ50" s="33">
        <f>IF(OR(AB50="",D50="",D50=0),"",AB50/D50)</f>
        <v/>
      </c>
    </row>
    <row r="51">
      <c r="A51" s="33" t="inlineStr">
        <is>
          <t>2026-07-13</t>
        </is>
      </c>
      <c r="B51" s="33" t="n">
        <v>0.1405505</v>
      </c>
      <c r="C51" s="33">
        <f>IFERROR(B51/B50-1,"")</f>
        <v/>
      </c>
      <c r="D51" s="33" t="n">
        <v>1300000</v>
      </c>
      <c r="E51" s="33" t="n">
        <v>0.53</v>
      </c>
      <c r="F51" s="33" t="n">
        <v>7.6065e-05</v>
      </c>
      <c r="G51" s="33" t="n">
        <v>5e-05</v>
      </c>
      <c r="H51" s="33" t="n">
        <v>0.00020639</v>
      </c>
      <c r="I51" s="33" t="n">
        <v>6</v>
      </c>
      <c r="L51" s="33" t="n">
        <v>3700000</v>
      </c>
      <c r="O51" s="33" t="n">
        <v>1.5881</v>
      </c>
      <c r="P51" s="33" t="n">
        <v>1.6385</v>
      </c>
      <c r="Q51" s="33" t="n">
        <v>2.2938</v>
      </c>
      <c r="R51" s="33">
        <f>IFERROR(O51/P51,"")</f>
        <v/>
      </c>
      <c r="S51" s="33">
        <f>IFERROR(AVERAGE(R49:R51),"")</f>
        <v/>
      </c>
      <c r="T51" s="33">
        <f>IFERROR(Q51/Q46,"")</f>
        <v/>
      </c>
      <c r="U51" s="33">
        <f>IFERROR(O51/O48-1,"")</f>
        <v/>
      </c>
      <c r="V51" s="33">
        <f>IFERROR(P51/P48-1,"")</f>
        <v/>
      </c>
      <c r="AJ51" s="33">
        <f>IF(OR(AB51="",D51="",D51=0),"",AB51/D51)</f>
        <v/>
      </c>
    </row>
    <row r="52">
      <c r="A52" s="33" t="inlineStr">
        <is>
          <t>2026-07-14</t>
        </is>
      </c>
      <c r="B52" s="33" t="n">
        <v>0.14374854</v>
      </c>
      <c r="C52" s="33">
        <f>IFERROR(B52/B51-1,"")</f>
        <v/>
      </c>
      <c r="D52" s="33" t="n">
        <v>1700000</v>
      </c>
      <c r="E52" s="33" t="n">
        <v>0.5206</v>
      </c>
      <c r="F52" s="33" t="n">
        <v>0.00018826333</v>
      </c>
      <c r="G52" s="33" t="n">
        <v>5e-05</v>
      </c>
      <c r="H52" s="33" t="n">
        <v>0.00048455</v>
      </c>
      <c r="I52" s="33" t="n">
        <v>6</v>
      </c>
      <c r="L52" s="33" t="n">
        <v>3600000</v>
      </c>
      <c r="O52" s="33" t="n">
        <v>1.5917</v>
      </c>
      <c r="P52" s="33" t="n">
        <v>1.7226</v>
      </c>
      <c r="Q52" s="33" t="n">
        <v>2.3535</v>
      </c>
      <c r="R52" s="33">
        <f>IFERROR(O52/P52,"")</f>
        <v/>
      </c>
      <c r="S52" s="33">
        <f>IFERROR(AVERAGE(R50:R52),"")</f>
        <v/>
      </c>
      <c r="T52" s="33">
        <f>IFERROR(Q52/Q47,"")</f>
        <v/>
      </c>
      <c r="U52" s="33">
        <f>IFERROR(O52/O49-1,"")</f>
        <v/>
      </c>
      <c r="V52" s="33">
        <f>IFERROR(P52/P49-1,"")</f>
        <v/>
      </c>
      <c r="AJ52" s="33">
        <f>IF(OR(AB52="",D52="",D52=0),"",AB52/D52)</f>
        <v/>
      </c>
    </row>
    <row r="53">
      <c r="A53" s="33" t="inlineStr">
        <is>
          <t>2026-07-15</t>
        </is>
      </c>
      <c r="B53" s="33" t="n">
        <v>0.14705272</v>
      </c>
      <c r="C53" s="33">
        <f>IFERROR(B53/B52-1,"")</f>
        <v/>
      </c>
      <c r="D53" s="33" t="n">
        <v>1900000</v>
      </c>
      <c r="E53" s="33" t="n">
        <v>0.4893</v>
      </c>
      <c r="F53" s="33" t="n">
        <v>6.2358333e-05</v>
      </c>
      <c r="G53" s="33" t="n">
        <v>5e-05</v>
      </c>
      <c r="H53" s="33" t="n">
        <v>8.966000000000001e-05</v>
      </c>
      <c r="I53" s="33" t="n">
        <v>6</v>
      </c>
      <c r="L53" s="33" t="n">
        <v>3900000</v>
      </c>
      <c r="O53" s="33" t="n">
        <v>1.5864</v>
      </c>
      <c r="P53" s="33" t="n">
        <v>1.5893</v>
      </c>
      <c r="Q53" s="33" t="n">
        <v>2.231</v>
      </c>
      <c r="R53" s="33">
        <f>IFERROR(O53/P53,"")</f>
        <v/>
      </c>
      <c r="S53" s="33">
        <f>IFERROR(AVERAGE(R51:R53),"")</f>
        <v/>
      </c>
      <c r="T53" s="33">
        <f>IFERROR(Q53/Q48,"")</f>
        <v/>
      </c>
      <c r="U53" s="33">
        <f>IFERROR(O53/O50-1,"")</f>
        <v/>
      </c>
      <c r="V53" s="33">
        <f>IFERROR(P53/P50-1,"")</f>
        <v/>
      </c>
      <c r="AJ53" s="33">
        <f>IF(OR(AB53="",D53="",D53=0),"",AB53/D53)</f>
        <v/>
      </c>
    </row>
    <row r="54">
      <c r="A54" s="33" t="inlineStr">
        <is>
          <t>2026-07-16</t>
        </is>
      </c>
      <c r="B54" s="33" t="n">
        <v>0.14719846</v>
      </c>
      <c r="C54" s="33">
        <f>IFERROR(B54/B53-1,"")</f>
        <v/>
      </c>
      <c r="D54" s="33" t="n">
        <v>1500000</v>
      </c>
      <c r="E54" s="33" t="n">
        <v>0.4831</v>
      </c>
      <c r="F54" s="33" t="n">
        <v>0.00015960333</v>
      </c>
      <c r="G54" s="33" t="n">
        <v>5e-05</v>
      </c>
      <c r="H54" s="33" t="n">
        <v>0.00032344</v>
      </c>
      <c r="I54" s="33" t="n">
        <v>6</v>
      </c>
      <c r="L54" s="33" t="n">
        <v>3900000</v>
      </c>
      <c r="O54" s="33" t="n">
        <v>1.5985</v>
      </c>
      <c r="P54" s="33" t="n">
        <v>1.6882</v>
      </c>
      <c r="Q54" s="33" t="n">
        <v>2.4095</v>
      </c>
      <c r="R54" s="33">
        <f>IFERROR(O54/P54,"")</f>
        <v/>
      </c>
      <c r="S54" s="33">
        <f>IFERROR(AVERAGE(R52:R54),"")</f>
        <v/>
      </c>
      <c r="T54" s="33">
        <f>IFERROR(Q54/Q49,"")</f>
        <v/>
      </c>
      <c r="U54" s="33">
        <f>IFERROR(O54/O51-1,"")</f>
        <v/>
      </c>
      <c r="V54" s="33">
        <f>IFERROR(P54/P51-1,"")</f>
        <v/>
      </c>
      <c r="AJ54" s="33">
        <f>IF(OR(AB54="",D54="",D54=0),"",AB54/D54)</f>
        <v/>
      </c>
    </row>
    <row r="55">
      <c r="A55" s="33" t="inlineStr">
        <is>
          <t>2026-07-17</t>
        </is>
      </c>
      <c r="B55" s="33" t="n">
        <v>0.14822998</v>
      </c>
      <c r="C55" s="33">
        <f>IFERROR(B55/B54-1,"")</f>
        <v/>
      </c>
      <c r="D55" s="33" t="n">
        <v>1900000</v>
      </c>
      <c r="E55" s="33" t="n">
        <v>0.5207000000000001</v>
      </c>
      <c r="F55" s="33" t="n">
        <v>0.000134</v>
      </c>
      <c r="G55" s="33" t="n">
        <v>5e-05</v>
      </c>
      <c r="H55" s="33" t="n">
        <v>0.00022702</v>
      </c>
      <c r="I55" s="33" t="n">
        <v>6</v>
      </c>
      <c r="L55" s="33" t="n">
        <v>3800000</v>
      </c>
      <c r="O55" s="33" t="n">
        <v>1.6237</v>
      </c>
      <c r="P55" s="33" t="n">
        <v>1.7647</v>
      </c>
      <c r="Q55" s="33" t="n">
        <v>2.4364</v>
      </c>
      <c r="R55" s="33">
        <f>IFERROR(O55/P55,"")</f>
        <v/>
      </c>
      <c r="S55" s="33">
        <f>IFERROR(AVERAGE(R53:R55),"")</f>
        <v/>
      </c>
      <c r="T55" s="33">
        <f>IFERROR(Q55/Q50,"")</f>
        <v/>
      </c>
      <c r="U55" s="33">
        <f>IFERROR(O55/O52-1,"")</f>
        <v/>
      </c>
      <c r="V55" s="33">
        <f>IFERROR(P55/P52-1,"")</f>
        <v/>
      </c>
      <c r="AJ55" s="33">
        <f>IF(OR(AB55="",D55="",D55=0),"",AB55/D55)</f>
        <v/>
      </c>
    </row>
    <row r="56">
      <c r="A56" s="33" t="inlineStr">
        <is>
          <t>2026-07-18</t>
        </is>
      </c>
      <c r="B56" s="33" t="n">
        <v>0.15647116</v>
      </c>
      <c r="C56" s="33">
        <f>IFERROR(B56/B55-1,"")</f>
        <v/>
      </c>
      <c r="D56" s="33" t="n">
        <v>5300000</v>
      </c>
      <c r="E56" s="33" t="n">
        <v>0.4746</v>
      </c>
      <c r="F56" s="33" t="n">
        <v>0.00010645333</v>
      </c>
      <c r="G56" s="33" t="n">
        <v>5e-05</v>
      </c>
      <c r="H56" s="33" t="n">
        <v>0.0002091</v>
      </c>
      <c r="I56" s="33" t="n">
        <v>6</v>
      </c>
      <c r="L56" s="33" t="n">
        <v>4100000</v>
      </c>
      <c r="O56" s="33" t="n">
        <v>1.6376</v>
      </c>
      <c r="P56" s="33" t="n">
        <v>1.6645</v>
      </c>
      <c r="Q56" s="33" t="n">
        <v>2.2478</v>
      </c>
      <c r="R56" s="33">
        <f>IFERROR(O56/P56,"")</f>
        <v/>
      </c>
      <c r="S56" s="33">
        <f>IFERROR(AVERAGE(R54:R56),"")</f>
        <v/>
      </c>
      <c r="T56" s="33">
        <f>IFERROR(Q56/Q51,"")</f>
        <v/>
      </c>
      <c r="U56" s="33">
        <f>IFERROR(O56/O53-1,"")</f>
        <v/>
      </c>
      <c r="V56" s="33">
        <f>IFERROR(P56/P53-1,"")</f>
        <v/>
      </c>
      <c r="AJ56" s="33">
        <f>IF(OR(AB56="",D56="",D56=0),"",AB56/D56)</f>
        <v/>
      </c>
    </row>
    <row r="57">
      <c r="A57" s="33" t="inlineStr">
        <is>
          <t>2026-07-19</t>
        </is>
      </c>
      <c r="B57" s="33" t="n">
        <v>0.15671909</v>
      </c>
      <c r="C57" s="33">
        <f>IFERROR(B57/B56-1,"")</f>
        <v/>
      </c>
      <c r="D57" s="33" t="n">
        <v>6000000</v>
      </c>
      <c r="E57" s="33" t="n">
        <v>0.4506</v>
      </c>
      <c r="F57" s="33" t="n">
        <v>7.808e-05</v>
      </c>
      <c r="G57" s="33" t="n">
        <v>5e-05</v>
      </c>
      <c r="H57" s="33" t="n">
        <v>0.00016622</v>
      </c>
      <c r="I57" s="33" t="n">
        <v>6</v>
      </c>
      <c r="L57" s="33" t="n">
        <v>4700000</v>
      </c>
      <c r="O57" s="33" t="n">
        <v>1.6638</v>
      </c>
      <c r="P57" s="33" t="n">
        <v>1.3294</v>
      </c>
      <c r="Q57" s="33" t="n">
        <v>1.7027</v>
      </c>
      <c r="R57" s="33">
        <f>IFERROR(O57/P57,"")</f>
        <v/>
      </c>
      <c r="S57" s="33">
        <f>IFERROR(AVERAGE(R55:R57),"")</f>
        <v/>
      </c>
      <c r="T57" s="33">
        <f>IFERROR(Q57/Q52,"")</f>
        <v/>
      </c>
      <c r="U57" s="33">
        <f>IFERROR(O57/O54-1,"")</f>
        <v/>
      </c>
      <c r="V57" s="33">
        <f>IFERROR(P57/P54-1,"")</f>
        <v/>
      </c>
      <c r="AJ57" s="33">
        <f>IF(OR(AB57="",D57="",D57=0),"",AB57/D57)</f>
        <v/>
      </c>
    </row>
    <row r="58">
      <c r="A58" s="33" t="inlineStr">
        <is>
          <t>2026-07-20</t>
        </is>
      </c>
      <c r="B58" s="33" t="n">
        <v>0.15163263</v>
      </c>
      <c r="C58" s="33">
        <f>IFERROR(B58/B57-1,"")</f>
        <v/>
      </c>
      <c r="D58" s="33" t="n">
        <v>2300000</v>
      </c>
      <c r="E58" s="33" t="n">
        <v>0.4777</v>
      </c>
      <c r="F58" s="33" t="n">
        <v>5e-05</v>
      </c>
      <c r="G58" s="33" t="n">
        <v>5e-05</v>
      </c>
      <c r="H58" s="33" t="n">
        <v>5e-05</v>
      </c>
      <c r="I58" s="33" t="n">
        <v>6</v>
      </c>
      <c r="L58" s="33" t="n">
        <v>4100000</v>
      </c>
      <c r="O58" s="33" t="n">
        <v>1.6795</v>
      </c>
      <c r="P58" s="33" t="n">
        <v>1.3524</v>
      </c>
      <c r="Q58" s="33" t="n">
        <v>1.6624</v>
      </c>
      <c r="R58" s="33">
        <f>IFERROR(O58/P58,"")</f>
        <v/>
      </c>
      <c r="S58" s="33">
        <f>IFERROR(AVERAGE(R56:R58),"")</f>
        <v/>
      </c>
      <c r="T58" s="33">
        <f>IFERROR(Q58/Q53,"")</f>
        <v/>
      </c>
      <c r="U58" s="33">
        <f>IFERROR(O58/O55-1,"")</f>
        <v/>
      </c>
      <c r="V58" s="33">
        <f>IFERROR(P58/P55-1,"")</f>
        <v/>
      </c>
      <c r="AJ58" s="33">
        <f>IF(OR(AB58="",D58="",D58=0),"",AB58/D58)</f>
        <v/>
      </c>
    </row>
    <row r="59">
      <c r="A59" s="33" t="inlineStr">
        <is>
          <t>2026-07-21</t>
        </is>
      </c>
      <c r="B59" s="33" t="n">
        <v>0.1533419</v>
      </c>
      <c r="C59" s="33">
        <f>IFERROR(B59/B58-1,"")</f>
        <v/>
      </c>
      <c r="D59" s="33" t="n">
        <v>3000000</v>
      </c>
      <c r="E59" s="33" t="n">
        <v>0.5315</v>
      </c>
      <c r="F59" s="33" t="n">
        <v>5e-05</v>
      </c>
      <c r="G59" s="33" t="n">
        <v>5e-05</v>
      </c>
      <c r="H59" s="33" t="n">
        <v>5e-05</v>
      </c>
      <c r="I59" s="33" t="n">
        <v>6</v>
      </c>
      <c r="L59" s="33" t="n">
        <v>4000000</v>
      </c>
      <c r="O59" s="33" t="n">
        <v>1.6704</v>
      </c>
      <c r="P59" s="33" t="n">
        <v>1.5634</v>
      </c>
      <c r="Q59" s="33" t="n">
        <v>2.0741</v>
      </c>
      <c r="R59" s="33">
        <f>IFERROR(O59/P59,"")</f>
        <v/>
      </c>
      <c r="S59" s="33">
        <f>IFERROR(AVERAGE(R57:R59),"")</f>
        <v/>
      </c>
      <c r="T59" s="33">
        <f>IFERROR(Q59/Q54,"")</f>
        <v/>
      </c>
      <c r="U59" s="33">
        <f>IFERROR(O59/O56-1,"")</f>
        <v/>
      </c>
      <c r="V59" s="33">
        <f>IFERROR(P59/P56-1,"")</f>
        <v/>
      </c>
      <c r="AJ59" s="33">
        <f>IF(OR(AB59="",D59="",D59=0),"",AB59/D59)</f>
        <v/>
      </c>
    </row>
    <row r="60">
      <c r="A60" s="33" t="inlineStr">
        <is>
          <t>2026-07-22</t>
        </is>
      </c>
      <c r="B60" s="33" t="n">
        <v>0.15620552</v>
      </c>
      <c r="C60" s="33">
        <f>IFERROR(B60/B59-1,"")</f>
        <v/>
      </c>
      <c r="D60" s="33" t="n">
        <v>5300000</v>
      </c>
      <c r="E60" s="33" t="n">
        <v>0.4714</v>
      </c>
      <c r="F60" s="33" t="n">
        <v>5.7938333e-05</v>
      </c>
      <c r="G60" s="33" t="n">
        <v>5e-05</v>
      </c>
      <c r="H60" s="33" t="n">
        <v>9.763e-05</v>
      </c>
      <c r="I60" s="33" t="n">
        <v>6</v>
      </c>
      <c r="L60" s="33" t="n">
        <v>4100000</v>
      </c>
      <c r="O60" s="33" t="n">
        <v>1.6561</v>
      </c>
      <c r="P60" s="33" t="n">
        <v>1.5826</v>
      </c>
      <c r="Q60" s="33" t="n">
        <v>2.0779</v>
      </c>
      <c r="R60" s="33">
        <f>IFERROR(O60/P60,"")</f>
        <v/>
      </c>
      <c r="S60" s="33">
        <f>IFERROR(AVERAGE(R58:R60),"")</f>
        <v/>
      </c>
      <c r="T60" s="33">
        <f>IFERROR(Q60/Q55,"")</f>
        <v/>
      </c>
      <c r="U60" s="33">
        <f>IFERROR(O60/O57-1,"")</f>
        <v/>
      </c>
      <c r="V60" s="33">
        <f>IFERROR(P60/P57-1,"")</f>
        <v/>
      </c>
      <c r="AJ60" s="33">
        <f>IF(OR(AB60="",D60="",D60=0),"",AB60/D60)</f>
        <v/>
      </c>
    </row>
    <row r="61">
      <c r="A61" s="33" t="inlineStr">
        <is>
          <t>2026-07-23</t>
        </is>
      </c>
      <c r="B61" s="33" t="n">
        <v>0.14215853</v>
      </c>
      <c r="C61" s="33">
        <f>IFERROR(B61/B60-1,"")</f>
        <v/>
      </c>
      <c r="D61" s="33" t="n">
        <v>6500000</v>
      </c>
      <c r="E61" s="33" t="n">
        <v>0.4939</v>
      </c>
      <c r="F61" s="33" t="n">
        <v>5e-05</v>
      </c>
      <c r="G61" s="33" t="n">
        <v>5e-05</v>
      </c>
      <c r="H61" s="33" t="n">
        <v>5e-05</v>
      </c>
      <c r="I61" s="33" t="n">
        <v>6</v>
      </c>
      <c r="L61" s="33" t="n">
        <v>3800000</v>
      </c>
      <c r="O61" s="33" t="n">
        <v>1.6705</v>
      </c>
      <c r="P61" s="33" t="n">
        <v>1.4015</v>
      </c>
      <c r="Q61" s="33" t="n">
        <v>1.7956</v>
      </c>
      <c r="R61" s="33">
        <f>IFERROR(O61/P61,"")</f>
        <v/>
      </c>
      <c r="S61" s="33">
        <f>IFERROR(AVERAGE(R59:R61),"")</f>
        <v/>
      </c>
      <c r="T61" s="33">
        <f>IFERROR(Q61/Q56,"")</f>
        <v/>
      </c>
      <c r="U61" s="33">
        <f>IFERROR(O61/O58-1,"")</f>
        <v/>
      </c>
      <c r="V61" s="33">
        <f>IFERROR(P61/P58-1,"")</f>
        <v/>
      </c>
      <c r="AJ61" s="33">
        <f>IF(OR(AB61="",D61="",D61=0),"",AB61/D61)</f>
        <v/>
      </c>
    </row>
    <row r="62">
      <c r="A62" s="61" t="inlineStr">
        <is>
          <t>2026-07-24</t>
        </is>
      </c>
      <c r="B62" s="61" t="n"/>
      <c r="C62" s="61">
        <f>IFERROR(B62/B61-1,"")</f>
        <v/>
      </c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  <c r="Q62" s="61" t="n"/>
      <c r="R62" s="61">
        <f>IFERROR(O62/P62,"")</f>
        <v/>
      </c>
      <c r="S62" s="61">
        <f>IFERROR(AVERAGE(R60:R62),"")</f>
        <v/>
      </c>
      <c r="T62" s="61">
        <f>IFERROR(Q62/Q57,"")</f>
        <v/>
      </c>
      <c r="U62" s="61">
        <f>IFERROR(O62/O59-1,"")</f>
        <v/>
      </c>
      <c r="V62" s="61">
        <f>IFERROR(P62/P59-1,"")</f>
        <v/>
      </c>
      <c r="W62" s="61" t="n"/>
      <c r="X62" s="61" t="n"/>
      <c r="Y62" s="61" t="n"/>
      <c r="Z62" s="61" t="n">
        <v>1</v>
      </c>
      <c r="AA62" s="61" t="n"/>
      <c r="AB62" s="61" t="n"/>
      <c r="AC62" s="61" t="n"/>
      <c r="AD62" s="61" t="n"/>
      <c r="AE62" s="61" t="n"/>
      <c r="AF62" s="61" t="n"/>
      <c r="AG62" s="61" t="n"/>
      <c r="AH62" s="61" t="n"/>
      <c r="AI62" s="61" t="n"/>
      <c r="AJ62" s="61">
        <f>IF(OR(AB62="",D62="",D62=0),"",AB62/D62)</f>
        <v/>
      </c>
      <c r="AK62" s="61" t="n"/>
      <c r="AL62" s="61" t="n"/>
      <c r="AM62" s="61" t="n"/>
      <c r="AN62" s="61" t="inlineStr">
        <is>
          <t>MISSING trong export — an pipeline</t>
        </is>
      </c>
      <c r="AO62" s="61" t="n"/>
    </row>
    <row r="63">
      <c r="A63" s="61" t="inlineStr">
        <is>
          <t>2026-07-25</t>
        </is>
      </c>
      <c r="B63" s="61" t="n"/>
      <c r="C63" s="61">
        <f>IFERROR(B63/B62-1,"")</f>
        <v/>
      </c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>
        <f>IFERROR(O63/P63,"")</f>
        <v/>
      </c>
      <c r="S63" s="61">
        <f>IFERROR(AVERAGE(R61:R63),"")</f>
        <v/>
      </c>
      <c r="T63" s="61">
        <f>IFERROR(Q63/Q58,"")</f>
        <v/>
      </c>
      <c r="U63" s="61">
        <f>IFERROR(O63/O60-1,"")</f>
        <v/>
      </c>
      <c r="V63" s="61">
        <f>IFERROR(P63/P60-1,"")</f>
        <v/>
      </c>
      <c r="W63" s="61" t="n"/>
      <c r="X63" s="61" t="n"/>
      <c r="Y63" s="61" t="n"/>
      <c r="Z63" s="61" t="n">
        <v>1</v>
      </c>
      <c r="AA63" s="61" t="n"/>
      <c r="AB63" s="61" t="n"/>
      <c r="AC63" s="61" t="n"/>
      <c r="AD63" s="61" t="n"/>
      <c r="AE63" s="61" t="n"/>
      <c r="AF63" s="61" t="n"/>
      <c r="AG63" s="61" t="n"/>
      <c r="AH63" s="61" t="n"/>
      <c r="AI63" s="61" t="n"/>
      <c r="AJ63" s="61">
        <f>IF(OR(AB63="",D63="",D63=0),"",AB63/D63)</f>
        <v/>
      </c>
      <c r="AK63" s="61" t="n"/>
      <c r="AL63" s="61" t="n"/>
      <c r="AM63" s="61" t="n"/>
      <c r="AN63" s="61" t="inlineStr">
        <is>
          <t>MISSING</t>
        </is>
      </c>
      <c r="AO63" s="61" t="n"/>
    </row>
    <row r="64">
      <c r="A64" s="61" t="inlineStr">
        <is>
          <t>2026-07-26</t>
        </is>
      </c>
      <c r="B64" s="61" t="n"/>
      <c r="C64" s="61">
        <f>IFERROR(B64/B63-1,"")</f>
        <v/>
      </c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>
        <f>IFERROR(O64/P64,"")</f>
        <v/>
      </c>
      <c r="S64" s="61">
        <f>IFERROR(AVERAGE(R62:R64),"")</f>
        <v/>
      </c>
      <c r="T64" s="61">
        <f>IFERROR(Q64/Q59,"")</f>
        <v/>
      </c>
      <c r="U64" s="61">
        <f>IFERROR(O64/O61-1,"")</f>
        <v/>
      </c>
      <c r="V64" s="61">
        <f>IFERROR(P64/P61-1,"")</f>
        <v/>
      </c>
      <c r="W64" s="61" t="n"/>
      <c r="X64" s="61" t="n"/>
      <c r="Y64" s="61" t="n"/>
      <c r="Z64" s="61" t="n">
        <v>1</v>
      </c>
      <c r="AA64" s="61" t="n"/>
      <c r="AB64" s="61" t="n"/>
      <c r="AC64" s="61" t="n"/>
      <c r="AD64" s="61" t="n"/>
      <c r="AE64" s="61" t="n"/>
      <c r="AF64" s="61" t="n"/>
      <c r="AG64" s="61" t="n"/>
      <c r="AH64" s="61" t="n"/>
      <c r="AI64" s="61" t="n"/>
      <c r="AJ64" s="61">
        <f>IF(OR(AB64="",D64="",D64=0),"",AB64/D64)</f>
        <v/>
      </c>
      <c r="AK64" s="61" t="n"/>
      <c r="AL64" s="61" t="n"/>
      <c r="AM64" s="61" t="n"/>
      <c r="AN64" s="61" t="inlineStr">
        <is>
          <t>MISSING</t>
        </is>
      </c>
      <c r="AO64" s="61" t="n"/>
    </row>
    <row r="65">
      <c r="A65" s="33" t="inlineStr">
        <is>
          <t>2026-07-27</t>
        </is>
      </c>
      <c r="B65" s="33" t="n">
        <v>0.15158</v>
      </c>
      <c r="C65" s="33">
        <f>IFERROR(B65/B64-1,"")</f>
        <v/>
      </c>
      <c r="R65" s="33">
        <f>IFERROR(O65/P65,"")</f>
        <v/>
      </c>
      <c r="S65" s="33">
        <f>IFERROR(AVERAGE(R63:R65),"")</f>
        <v/>
      </c>
      <c r="T65" s="33">
        <f>IFERROR(Q65/Q60,"")</f>
        <v/>
      </c>
      <c r="U65" s="33">
        <f>IFERROR(O65/O62-1,"")</f>
        <v/>
      </c>
      <c r="V65" s="33">
        <f>IFERROR(P65/P62-1,"")</f>
        <v/>
      </c>
      <c r="AA65" s="33" t="inlineStr">
        <is>
          <t>gate</t>
        </is>
      </c>
      <c r="AB65" s="33" t="n">
        <v>447807</v>
      </c>
      <c r="AJ65" s="33">
        <f>IF(OR(AB65="",D65="",D65=0),"",AB65/D65)</f>
        <v/>
      </c>
      <c r="AN65" s="33" t="inlineStr">
        <is>
          <t>px -3.3% tu dinh 30d</t>
        </is>
      </c>
    </row>
    <row r="66">
      <c r="A66" s="33" t="inlineStr">
        <is>
          <t>2026-07-28</t>
        </is>
      </c>
      <c r="C66" s="33">
        <f>IFERROR(B66/B65-1,"")</f>
        <v/>
      </c>
      <c r="R66" s="33">
        <f>IFERROR(O66/P66,"")</f>
        <v/>
      </c>
      <c r="S66" s="33">
        <f>IFERROR(AVERAGE(R64:R66),"")</f>
        <v/>
      </c>
      <c r="T66" s="33">
        <f>IFERROR(Q66/Q61,"")</f>
        <v/>
      </c>
      <c r="U66" s="33">
        <f>IFERROR(O66/O63-1,"")</f>
        <v/>
      </c>
      <c r="V66" s="33">
        <f>IFERROR(P66/P63-1,"")</f>
        <v/>
      </c>
      <c r="Z66" s="33" t="n">
        <v>1</v>
      </c>
      <c r="AJ66" s="33">
        <f>IF(OR(AB66="",D66="",D66=0),"",AB66/D66)</f>
        <v/>
      </c>
      <c r="AN66" s="33" t="inlineStr">
        <is>
          <t>PARTIAL/MISSING_PX</t>
        </is>
      </c>
    </row>
    <row r="67">
      <c r="A67" s="33" t="inlineStr">
        <is>
          <t>2026-07-29</t>
        </is>
      </c>
      <c r="B67" s="33" t="n">
        <v>0.146</v>
      </c>
      <c r="C67" s="33">
        <f>IFERROR(B67/B66-1,"")</f>
        <v/>
      </c>
      <c r="F67" s="33" t="n">
        <v>0.00018</v>
      </c>
      <c r="G67" s="33" t="n">
        <v>0.00017978</v>
      </c>
      <c r="H67" s="33" t="n">
        <v>0.00017978</v>
      </c>
      <c r="I67" s="33" t="n">
        <v>1</v>
      </c>
      <c r="J67" s="33" t="inlineStr">
        <is>
          <t>HOT</t>
        </is>
      </c>
      <c r="L67" s="33" t="n">
        <v>4634000</v>
      </c>
      <c r="N67" s="33" t="inlineStr">
        <is>
          <t>FLOOR</t>
        </is>
      </c>
      <c r="O67" s="33" t="n">
        <v>1.661</v>
      </c>
      <c r="P67" s="33" t="n">
        <v>1.49</v>
      </c>
      <c r="Q67" s="33" t="n">
        <v>1.944</v>
      </c>
      <c r="R67" s="33">
        <f>IFERROR(O67/P67,"")</f>
        <v/>
      </c>
      <c r="S67" s="33">
        <f>IFERROR(AVERAGE(R65:R67),"")</f>
        <v/>
      </c>
      <c r="T67" s="33">
        <f>IFERROR(Q67/Q62,"")</f>
        <v/>
      </c>
      <c r="U67" s="33">
        <f>IFERROR(O67/O64-1,"")</f>
        <v/>
      </c>
      <c r="V67" s="33">
        <f>IFERROR(P67/P64-1,"")</f>
        <v/>
      </c>
      <c r="AA67" s="33" t="inlineStr">
        <is>
          <t>gate</t>
        </is>
      </c>
      <c r="AD67" s="33" t="n">
        <v>2217</v>
      </c>
      <c r="AE67" s="33" t="n">
        <v>1364</v>
      </c>
      <c r="AJ67" s="33">
        <f>IF(OR(AB67="",D67="",D67=0),"",AB67/D67)</f>
        <v/>
      </c>
      <c r="AK67" s="33" t="inlineStr">
        <is>
          <t>+$2.64M deposit (6% supply)</t>
        </is>
      </c>
      <c r="AL67" s="33" t="inlineStr">
        <is>
          <t>kho rut Bybit/Bitget ~T3/2026 tai dinh markup — nay redeposit</t>
        </is>
      </c>
      <c r="AN67" s="33" t="inlineStr">
        <is>
          <t>dinh luat #9: pos 1.661 tai OI-floor = ghe MM, trong so cao</t>
        </is>
      </c>
      <c r="AO67" s="33" t="inlineStr">
        <is>
          <t>MM-BAIT-B: van tay 3/3</t>
        </is>
      </c>
    </row>
  </sheetData>
  <mergeCells count="4">
    <mergeCell ref="A1:Z1"/>
    <mergeCell ref="AA1:AJ1"/>
    <mergeCell ref="AK1:AM1"/>
    <mergeCell ref="AN1:A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3" min="1" max="1"/>
    <col width="60" customWidth="1" style="33" min="2" max="2"/>
    <col width="18" customWidth="1" style="33" min="3" max="3"/>
    <col width="45" customWidth="1" style="33" min="4" max="4"/>
  </cols>
  <sheetData>
    <row r="1" ht="16.15" customHeight="1" s="34">
      <c r="A1" s="35" t="inlineStr">
        <is>
          <t>D. NHAT KY DIEN BIEN (append-only, moi nhat duoi cung)</t>
        </is>
      </c>
    </row>
    <row r="3" ht="15" customHeight="1" s="34">
      <c r="A3" s="60" t="inlineStr">
        <is>
          <t>ngay</t>
        </is>
      </c>
      <c r="B3" s="60" t="inlineStr">
        <is>
          <t>su_kien_so_lieu</t>
        </is>
      </c>
      <c r="C3" s="60" t="inlineStr">
        <is>
          <t>nguon</t>
        </is>
      </c>
      <c r="D3" s="60" t="inlineStr">
        <is>
          <t>doc_nhanh</t>
        </is>
      </c>
    </row>
    <row r="4" ht="15" customHeight="1" s="34">
      <c r="A4" s="38" t="inlineStr">
        <is>
          <t>~2026-03</t>
        </is>
      </c>
      <c r="B4" s="38" t="inlineStr">
        <is>
          <t>rut kho khoi Bybit/Bitget tai dinh markup (123-128d truoc)</t>
        </is>
      </c>
      <c r="C4" s="38" t="inlineStr">
        <is>
          <t>BscScan tay + Velo</t>
        </is>
      </c>
      <c r="D4" s="38" t="inlineStr">
        <is>
          <t>moi gom gia; CVD gay tu day</t>
        </is>
      </c>
    </row>
    <row r="5" ht="15" customHeight="1" s="34">
      <c r="A5" s="38" t="inlineStr">
        <is>
          <t>07-29</t>
        </is>
      </c>
      <c r="B5" s="38" t="inlineStr">
        <is>
          <t>deposit 6% (~$2.64M) len san</t>
        </is>
      </c>
      <c r="C5" s="38" t="inlineStr">
        <is>
          <t>BscScan tay</t>
        </is>
      </c>
      <c r="D5" s="38" t="inlineStr">
        <is>
          <t>chuan bi dan</t>
        </is>
      </c>
    </row>
    <row r="6" ht="15" customHeight="1" s="34">
      <c r="A6" s="38" t="inlineStr">
        <is>
          <t>07-29</t>
        </is>
      </c>
      <c r="B6" s="38" t="inlineStr">
        <is>
          <t>perp: OI-floor 4.6M, gLSR 1.94 len, funding am 0.018%/8h duong</t>
        </is>
      </c>
      <c r="C6" s="38" t="inlineStr">
        <is>
          <t>probe + Velo</t>
        </is>
      </c>
      <c r="D6" s="38" t="inlineStr">
        <is>
          <t>crowd sai cho; san cua tay thao viec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22" customWidth="1" style="33" min="2" max="2"/>
    <col width="44" customWidth="1" style="33" min="3" max="3"/>
    <col width="40" customWidth="1" style="33" min="4" max="4"/>
    <col width="22" customWidth="1" style="33" min="5" max="5"/>
  </cols>
  <sheetData>
    <row r="1" ht="16.15" customHeight="1" s="34">
      <c r="A1" s="35" t="inlineStr">
        <is>
          <t>C. CHOT THEO DOI — doc moi ngay sau nen dong</t>
        </is>
      </c>
    </row>
    <row r="3" ht="15" customHeight="1" s="34">
      <c r="A3" s="60" t="inlineStr">
        <is>
          <t>#</t>
        </is>
      </c>
      <c r="B3" s="60" t="inlineStr">
        <is>
          <t>chot</t>
        </is>
      </c>
      <c r="C3" s="60" t="inlineStr">
        <is>
          <t>dieu_kien</t>
        </is>
      </c>
      <c r="D3" s="60" t="inlineStr">
        <is>
          <t>nghia_khi_bat</t>
        </is>
      </c>
      <c r="E3" s="60" t="inlineStr">
        <is>
          <t>trang_thai_hom_nay</t>
        </is>
      </c>
    </row>
    <row r="4" ht="23.85" customHeight="1" s="34">
      <c r="A4" s="38" t="inlineStr">
        <is>
          <t>1</t>
        </is>
      </c>
      <c r="B4" s="38" t="inlineStr">
        <is>
          <t>Ghe MM</t>
        </is>
      </c>
      <c r="C4" s="38" t="inlineStr">
        <is>
          <t>pos_r nhich ben tai nen OI 4.6M</t>
        </is>
      </c>
      <c r="D4" s="38" t="inlineStr">
        <is>
          <t>dinh luat #9 — MM ngoi them truoc keo, tin hieu dam</t>
        </is>
      </c>
      <c r="E4" s="39" t="inlineStr">
        <is>
          <t>1.661 baseline</t>
        </is>
      </c>
    </row>
    <row r="5" ht="15" customHeight="1" s="34">
      <c r="A5" s="38" t="inlineStr">
        <is>
          <t>2</t>
        </is>
      </c>
      <c r="B5" s="38" t="inlineStr">
        <is>
          <t>Rua crowd</t>
        </is>
      </c>
      <c r="C5" s="38" t="inlineStr">
        <is>
          <t>crowd_flush bat ky bien the — gLSR 1.94 phai sap</t>
        </is>
      </c>
      <c r="D5" s="38" t="inlineStr">
        <is>
          <t>dieu kien tien quyet leg that</t>
        </is>
      </c>
      <c r="E5" s="39" t="inlineStr">
        <is>
          <t>PENDING</t>
        </is>
      </c>
    </row>
    <row r="6" ht="15" customHeight="1" s="34">
      <c r="A6" s="38" t="inlineStr">
        <is>
          <t>3</t>
        </is>
      </c>
      <c r="B6" s="38" t="inlineStr">
        <is>
          <t>Kho 6%</t>
        </is>
      </c>
      <c r="C6" s="38" t="inlineStr">
        <is>
          <t>chuyen dong tiep (chia nho / them / rut lai)</t>
        </is>
      </c>
      <c r="D6" s="38" t="inlineStr">
        <is>
          <t>danh dau pha; rut-lai = moi vong moi</t>
        </is>
      </c>
      <c r="E6" s="39" t="inlineStr">
        <is>
          <t>vua len san</t>
        </is>
      </c>
    </row>
    <row r="7" ht="15" customHeight="1" s="34">
      <c r="A7" s="38" t="inlineStr">
        <is>
          <t>4</t>
        </is>
      </c>
      <c r="B7" s="38" t="inlineStr">
        <is>
          <t>Bay BTW pha 2</t>
        </is>
      </c>
      <c r="C7" s="38" t="inlineStr">
        <is>
          <t>gia do phang + funding am phan ky</t>
        </is>
      </c>
      <c r="D7" s="38" t="inlineStr">
        <is>
          <t>suppressor funding_neg_div — xac nhan trap</t>
        </is>
      </c>
      <c r="E7" s="39" t="inlineStr">
        <is>
          <t>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33" min="1" max="1"/>
    <col width="11" customWidth="1" style="33" min="2" max="2"/>
    <col width="12" customWidth="1" style="33" min="3" max="3"/>
    <col width="9" customWidth="1" style="33" min="4" max="4"/>
    <col width="16" customWidth="1" style="33" min="5" max="5"/>
    <col width="13" customWidth="1" style="33" min="6" max="6"/>
    <col width="9" customWidth="1" style="33" min="7" max="7"/>
    <col width="42" customWidth="1" style="33" min="8" max="9"/>
  </cols>
  <sheetData>
    <row r="1" ht="16.15" customHeight="1" s="34">
      <c r="A1" s="35" t="inlineStr">
        <is>
          <t>E. OUTCOME — dien tai moc; verdict_check: verdict luc mo DUNG/SAI o diem nao</t>
        </is>
      </c>
    </row>
    <row r="3" ht="15" customHeight="1" s="34">
      <c r="A3" s="60" t="inlineStr">
        <is>
          <t>moc</t>
        </is>
      </c>
      <c r="B3" s="60" t="inlineStr">
        <is>
          <t>ngay_han</t>
        </is>
      </c>
      <c r="C3" s="60" t="inlineStr">
        <is>
          <t>px</t>
        </is>
      </c>
      <c r="D3" s="60" t="inlineStr">
        <is>
          <t>ret_pct</t>
        </is>
      </c>
      <c r="E3" s="60" t="inlineStr">
        <is>
          <t>drawup_drawdown</t>
        </is>
      </c>
      <c r="F3" s="60" t="inlineStr">
        <is>
          <t>oi_usd</t>
        </is>
      </c>
      <c r="G3" s="60" t="inlineStr">
        <is>
          <t>gLSR</t>
        </is>
      </c>
      <c r="H3" s="60" t="inlineStr">
        <is>
          <t>dien_bien</t>
        </is>
      </c>
      <c r="I3" s="60" t="inlineStr">
        <is>
          <t>verdict_check</t>
        </is>
      </c>
    </row>
    <row r="4" ht="15" customHeight="1" s="34">
      <c r="A4" s="38" t="inlineStr">
        <is>
          <t>T+7</t>
        </is>
      </c>
      <c r="B4" s="38" t="inlineStr">
        <is>
          <t>2026-08-05</t>
        </is>
      </c>
      <c r="C4" s="39" t="n"/>
      <c r="D4" s="39" t="n"/>
      <c r="E4" s="39" t="n"/>
      <c r="F4" s="39" t="n"/>
      <c r="G4" s="39" t="n"/>
      <c r="H4" s="39" t="n"/>
      <c r="I4" s="39" t="n"/>
    </row>
    <row r="5" ht="15" customHeight="1" s="34">
      <c r="A5" s="38" t="inlineStr">
        <is>
          <t>T+14</t>
        </is>
      </c>
      <c r="B5" s="38" t="inlineStr">
        <is>
          <t>2026-08-12</t>
        </is>
      </c>
      <c r="C5" s="39" t="n"/>
      <c r="D5" s="39" t="n"/>
      <c r="E5" s="39" t="n"/>
      <c r="F5" s="39" t="n"/>
      <c r="G5" s="39" t="n"/>
      <c r="H5" s="39" t="n"/>
      <c r="I5" s="39" t="n"/>
    </row>
    <row r="6" ht="15" customHeight="1" s="34">
      <c r="A6" s="38" t="inlineStr">
        <is>
          <t>T+30</t>
        </is>
      </c>
      <c r="B6" s="38" t="inlineStr">
        <is>
          <t>2026-08-28</t>
        </is>
      </c>
      <c r="C6" s="39" t="n"/>
      <c r="D6" s="39" t="n"/>
      <c r="E6" s="39" t="n"/>
      <c r="F6" s="39" t="n"/>
      <c r="G6" s="39" t="n"/>
      <c r="H6" s="39" t="n"/>
      <c r="I6" s="39" t="n"/>
    </row>
    <row r="7" ht="15" customHeight="1" s="34">
      <c r="A7" s="38" t="inlineStr">
        <is>
          <t>T+60</t>
        </is>
      </c>
      <c r="B7" s="38" t="inlineStr">
        <is>
          <t>2026-09-27</t>
        </is>
      </c>
      <c r="C7" s="39" t="n"/>
      <c r="D7" s="39" t="n"/>
      <c r="E7" s="39" t="n"/>
      <c r="F7" s="39" t="n"/>
      <c r="G7" s="39" t="n"/>
      <c r="H7" s="39" t="n"/>
      <c r="I7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95" customWidth="1" style="33" min="2" max="2"/>
  </cols>
  <sheetData>
    <row r="1" ht="16.15" customHeight="1" s="34">
      <c r="A1" s="35" t="inlineStr">
        <is>
          <t>I. MM / OPERATOR PROFILE — van tay hanh vi (moi MM danh mot kieu)</t>
        </is>
      </c>
    </row>
    <row r="3" ht="15" customHeight="1" s="34">
      <c r="A3" s="37" t="inlineStr">
        <is>
          <t>MM cong bo / nghi van</t>
        </is>
      </c>
      <c r="B3" s="39" t="inlineStr">
        <is>
          <t>unknown — tra ho so listing/cong bo du an (PENDING)</t>
        </is>
      </c>
    </row>
    <row r="4" ht="15" customHeight="1" s="34">
      <c r="A4" s="37" t="inlineStr">
        <is>
          <t>MM_ID</t>
        </is>
      </c>
      <c r="B4" s="38" t="inlineStr">
        <is>
          <t>MM-BAIT-B (3/3: bait-withdrawal tai dinh + funding duong dai thu phi + xa khong qua book)</t>
        </is>
      </c>
    </row>
    <row r="5" ht="15" customHeight="1" s="34">
      <c r="A5" s="37" t="inlineStr">
        <is>
          <t>Van tay funding</t>
        </is>
      </c>
      <c r="B5" s="38" t="inlineStr">
        <is>
          <t>de duong gan lien tuc 4 thang gia giam — thu phi crowd long</t>
        </is>
      </c>
    </row>
    <row r="6" ht="15" customHeight="1" s="34">
      <c r="A6" s="37" t="inlineStr">
        <is>
          <t>Van tay markup</t>
        </is>
      </c>
      <c r="B6" s="39" t="inlineStr">
        <is>
          <t>PENDING — leg keo sap toi (neu co) se lo van tay</t>
        </is>
      </c>
    </row>
    <row r="7" ht="15" customHeight="1" s="34">
      <c r="A7" s="37" t="inlineStr">
        <is>
          <t>Ky thuat quan crowd</t>
        </is>
      </c>
      <c r="B7" s="38" t="inlineStr">
        <is>
          <t>chua thay cu flush ro — crowd dang duoc NUOI (gLSR len)</t>
        </is>
      </c>
    </row>
    <row r="8" ht="15" customHeight="1" s="34">
      <c r="A8" s="37" t="inlineStr">
        <is>
          <t>Ky thuat moi on-chain</t>
        </is>
      </c>
      <c r="B8" s="38" t="inlineStr">
        <is>
          <t>bait-withdrawal tai dinh (T-125) — giong BTW nguyen ban</t>
        </is>
      </c>
    </row>
    <row r="9" ht="15" customHeight="1" s="34">
      <c r="A9" s="37" t="inlineStr">
        <is>
          <t>Venue</t>
        </is>
      </c>
      <c r="B9" s="38" t="inlineStr">
        <is>
          <t>Binance perp (san chinh) + Gate spot (bai do, book sieu mong)</t>
        </is>
      </c>
    </row>
    <row r="10" ht="15" customHeight="1" s="34">
      <c r="A10" s="37" t="inlineStr">
        <is>
          <t>Cross-campaign</t>
        </is>
      </c>
      <c r="B10" s="38" t="inlineStr">
        <is>
          <t>cung ho BTW — neu tim thay van tay dia chi trung: alert cap he thong</t>
        </is>
      </c>
    </row>
    <row r="11" ht="15" customHeight="1" s="34">
      <c r="A11" s="37" t="inlineStr">
        <is>
          <t>Ung xu voi minh</t>
        </is>
      </c>
      <c r="B11" s="39" t="inlineStr">
        <is>
          <t>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3" min="1" max="1"/>
    <col width="95" customWidth="1" style="33" min="2" max="2"/>
  </cols>
  <sheetData>
    <row r="1" ht="16.15" customHeight="1" s="34">
      <c r="A1" s="35" t="inlineStr">
        <is>
          <t>J. TOKENOMICS / UNLOCK — dong cung co lich, MM danh quanh no</t>
        </is>
      </c>
    </row>
    <row r="3" ht="15" customHeight="1" s="34">
      <c r="A3" s="37" t="inlineStr">
        <is>
          <t>Circulating / Total</t>
        </is>
      </c>
      <c r="B3" s="39" t="inlineStr">
        <is>
          <t>PENDING</t>
        </is>
      </c>
    </row>
    <row r="4" ht="15" customHeight="1" s="34">
      <c r="A4" s="37" t="inlineStr">
        <is>
          <t>Nguon tra</t>
        </is>
      </c>
      <c r="B4" s="39" t="inlineStr">
        <is>
          <t>PENDING — TRA NGAY (viec tay gap nhat case nay)</t>
        </is>
      </c>
    </row>
    <row r="5" ht="15" customHeight="1" s="34">
      <c r="A5" s="37" t="inlineStr">
        <is>
          <t>Unlock KE TIEP</t>
        </is>
      </c>
      <c r="B5" s="39" t="inlineStr">
        <is>
          <t>PENDING — deposit 6% dung cach unlock bao xa quyet do khan kich ban</t>
        </is>
      </c>
    </row>
    <row r="6" ht="15" customHeight="1" s="34">
      <c r="A6" s="37" t="inlineStr">
        <is>
          <t>Unlock 90 ngay toi</t>
        </is>
      </c>
      <c r="B6" s="39" t="inlineStr">
        <is>
          <t>PENDING</t>
        </is>
      </c>
    </row>
    <row r="7" ht="15" customHeight="1" s="34">
      <c r="A7" s="37" t="inlineStr">
        <is>
          <t>Cliff da qua</t>
        </is>
      </c>
      <c r="B7" s="39" t="inlineStr">
        <is>
          <t>PENDING — hanh vi gia quanh cliff cu = mau hanh vi tay choi voi unlock</t>
        </is>
      </c>
    </row>
    <row r="8" ht="15" customHeight="1" s="34">
      <c r="A8" s="37" t="inlineStr">
        <is>
          <t>Doc</t>
        </is>
      </c>
      <c r="B8" s="38" t="inlineStr">
        <is>
          <t>neu unlock lon 30-60d toi: kich ban keo-tao-hype-de-xa co deadline tu nhien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2026-07-29T03:24:04Z</dcterms:created>
  <dcterms:modified xsi:type="dcterms:W3CDTF">2026-07-29T08:30:44Z</dcterms:modified>
  <cp:revision>0</cp:revision>
</cp:coreProperties>
</file>