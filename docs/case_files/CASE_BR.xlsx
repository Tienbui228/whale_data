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E" sheetId="1" state="visible" r:id="rId3"/>
    <sheet name="DAILY" sheetId="2" state="visible" r:id="rId4"/>
    <sheet name="EVENTS" sheetId="3" state="visible" r:id="rId5"/>
    <sheet name="TRIGGERS" sheetId="4" state="visible" r:id="rId6"/>
    <sheet name="OUTCOME" sheetId="5" state="visible" r:id="rId7"/>
    <sheet name="MM_PROFILE" sheetId="6" state="visible" r:id="rId8"/>
    <sheet name="UNLO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<sst xmlns="http://schemas.openxmlformats.org/spreadsheetml/2006/main" count="180" uniqueCount="172">
  <si>
    <t xml:space="preserve">CASE FILE — BR</t>
  </si>
  <si>
    <t xml:space="preserve">Nguon: case_tracker v1.1 · verdict chi operator ghi · so kem nguon · PENDING khong doan</t>
  </si>
  <si>
    <t xml:space="preserve">Status</t>
  </si>
  <si>
    <t xml:space="preserve">OPEN — STAND_ASIDE</t>
  </si>
  <si>
    <t xml:space="preserve">Loai</t>
  </si>
  <si>
    <t xml:space="preserve">pump-to-distribute: kho 6% quay lai san, kha nang leg keo tao hype truoc khi xa</t>
  </si>
  <si>
    <t xml:space="preserve">Ngay phat hien</t>
  </si>
  <si>
    <t xml:space="preserve">29/07 — deposit 6% supply (~$2.64M)</t>
  </si>
  <si>
    <t xml:space="preserve">T0</t>
  </si>
  <si>
    <t xml:space="preserve">chua (T0 = ignition leg keo NEU xay ra) · px 29/07 ~0.146</t>
  </si>
  <si>
    <t xml:space="preserve">action_class</t>
  </si>
  <si>
    <t xml:space="preserve">STAND_ASIDE — khong doc deposit thanh tin hieu long; chi xet lai khi chot 1+2 cung bat</t>
  </si>
  <si>
    <t xml:space="preserve">Vi the</t>
  </si>
  <si>
    <t xml:space="preserve">none</t>
  </si>
  <si>
    <t xml:space="preserve">Tom tat input</t>
  </si>
  <si>
    <t xml:space="preserve">Vong doi hang truy tron: rut Bybit/Bitget tai DINH markup ~T3/2026 (moi 'smart money gom') trong khi spot CVD gay doc -70M tu do -&gt; phan phoi 4 thang -&gt; nay redeposit · perp: px -3.3% tu dinh 30d, OI-FLOOR 16M-&gt;4.6M, div 1.1, gLSR 1.944 dang bo len, funding duong 4 thang (crowd tra phi suot duong xuong — cau hinh ESPORTS) · book khong nuot noi: 1191x depth, 45.7x vol ngay</t>
  </si>
  <si>
    <t xml:space="preserve">Verdict (operator, ky 30/07)</t>
  </si>
  <si>
    <t xml:space="preserve">BAIT_WITHDRAWAL (pha goc T-125) -&gt; nay staging cho PLAIN_DISTRIBUTION co leg keo phia truoc. Token vao SO DEN moi-on-chain (bang chung #2 sau BTW). Khong long theo leg keo: khong co ghe big-long de di cung — long = vi tri con moi</t>
  </si>
  <si>
    <t xml:space="preserve">Dieu gi chung minh SAI</t>
  </si>
  <si>
    <t xml:space="preserve">pos_r tang ben tai nen + gLSR duoc rua manh + pin moi xuat hien = cau truc campaign chuan hinh thanh -&gt; doc lai tu dau</t>
  </si>
  <si>
    <t xml:space="preserve">LEGEND</t>
  </si>
  <si>
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</si>
  <si>
    <t xml:space="preserve">PERP (may)</t>
  </si>
  <si>
    <t xml:space="preserve">SPOT/ALPHA (may)</t>
  </si>
  <si>
    <t xml:space="preserve">ON-CHAIN (ban tu dong)</t>
  </si>
  <si>
    <t xml:space="preserve">MANUAL (operator)</t>
  </si>
  <si>
    <t xml:space="preserve">date</t>
  </si>
  <si>
    <t xml:space="preserve">px_avg</t>
  </si>
  <si>
    <t xml:space="preserve">ret_1d</t>
  </si>
  <si>
    <t xml:space="preserve">vol_perp_usd</t>
  </si>
  <si>
    <t xml:space="preserve">taker_buy_pct</t>
  </si>
  <si>
    <t xml:space="preserve">f_avg</t>
  </si>
  <si>
    <t xml:space="preserve">f_min</t>
  </si>
  <si>
    <t xml:space="preserve">f_max</t>
  </si>
  <si>
    <t xml:space="preserve">f_n</t>
  </si>
  <si>
    <t xml:space="preserve">funding_regime</t>
  </si>
  <si>
    <t xml:space="preserve">pin_streak</t>
  </si>
  <si>
    <t xml:space="preserve">oi_usd</t>
  </si>
  <si>
    <t xml:space="preserve">oi_vs_med14</t>
  </si>
  <si>
    <t xml:space="preserve">oi_cycle_pos</t>
  </si>
  <si>
    <t xml:space="preserve">lsr_pos_r</t>
  </si>
  <si>
    <t xml:space="preserve">lsr_acc_r</t>
  </si>
  <si>
    <t xml:space="preserve">lsr_global_r</t>
  </si>
  <si>
    <t xml:space="preserve">div_raw</t>
  </si>
  <si>
    <t xml:space="preserve">div_avg3</t>
  </si>
  <si>
    <t xml:space="preserve">glsr_slope_5d</t>
  </si>
  <si>
    <t xml:space="preserve">d_pos_3d</t>
  </si>
  <si>
    <t xml:space="preserve">d_acc_3d</t>
  </si>
  <si>
    <t xml:space="preserve">signals_bullish</t>
  </si>
  <si>
    <t xml:space="preserve">signals_suppress</t>
  </si>
  <si>
    <t xml:space="preserve">screen_rank</t>
  </si>
  <si>
    <t xml:space="preserve">data_bad</t>
  </si>
  <si>
    <t xml:space="preserve">spot_venue</t>
  </si>
  <si>
    <t xml:space="preserve">vol_spot_usd</t>
  </si>
  <si>
    <t xml:space="preserve">taker_spot_pct</t>
  </si>
  <si>
    <t xml:space="preserve">depth_bid2_usd</t>
  </si>
  <si>
    <t xml:space="preserve">depth_ask2_usd</t>
  </si>
  <si>
    <t xml:space="preserve">bid_wall_px</t>
  </si>
  <si>
    <t xml:space="preserve">bid_wall_usd</t>
  </si>
  <si>
    <t xml:space="preserve">ask_wall_px</t>
  </si>
  <si>
    <t xml:space="preserve">ask_wall_usd</t>
  </si>
  <si>
    <t xml:space="preserve">alpha_suspect</t>
  </si>
  <si>
    <t xml:space="preserve">exch_balance_delta</t>
  </si>
  <si>
    <t xml:space="preserve">wallet_activity</t>
  </si>
  <si>
    <t xml:space="preserve">dominance_pct</t>
  </si>
  <si>
    <t xml:space="preserve">note_operator</t>
  </si>
  <si>
    <t xml:space="preserve">mm_note</t>
  </si>
  <si>
    <t xml:space="preserve">2026-07-24</t>
  </si>
  <si>
    <t xml:space="preserve">MISSING trong export — an pipeline</t>
  </si>
  <si>
    <t xml:space="preserve">2026-07-25</t>
  </si>
  <si>
    <t xml:space="preserve">MISSING</t>
  </si>
  <si>
    <t xml:space="preserve">2026-07-26</t>
  </si>
  <si>
    <t xml:space="preserve">2026-07-27</t>
  </si>
  <si>
    <t xml:space="preserve">gate</t>
  </si>
  <si>
    <t xml:space="preserve">px -3.3% tu dinh 30d</t>
  </si>
  <si>
    <t xml:space="preserve">2026-07-28</t>
  </si>
  <si>
    <t xml:space="preserve">PARTIAL/MISSING_PX</t>
  </si>
  <si>
    <t xml:space="preserve">2026-07-29</t>
  </si>
  <si>
    <t xml:space="preserve">HOT</t>
  </si>
  <si>
    <t xml:space="preserve">FLOOR</t>
  </si>
  <si>
    <t xml:space="preserve">+$2.64M deposit (6% supply)</t>
  </si>
  <si>
    <t xml:space="preserve">kho rut Bybit/Bitget ~T3/2026 tai dinh markup — nay redeposit</t>
  </si>
  <si>
    <t xml:space="preserve">dinh luat #9: pos 1.661 tai OI-floor = ghe MM, trong so cao</t>
  </si>
  <si>
    <t xml:space="preserve">MM-BAIT-B: van tay 3/3</t>
  </si>
  <si>
    <t xml:space="preserve">BACKFILL PENDING tu export (LUU Y an pipeline MISSING Jul24-26). Cot wall toi quan trong case nay — ai bid manh o gia nao la cau hoi loi.</t>
  </si>
  <si>
    <t xml:space="preserve">D. NHAT KY DIEN BIEN (append-only, moi nhat duoi cung)</t>
  </si>
  <si>
    <t xml:space="preserve">ngay</t>
  </si>
  <si>
    <t xml:space="preserve">su_kien_so_lieu</t>
  </si>
  <si>
    <t xml:space="preserve">nguon</t>
  </si>
  <si>
    <t xml:space="preserve">doc_nhanh</t>
  </si>
  <si>
    <t xml:space="preserve">~2026-03</t>
  </si>
  <si>
    <t xml:space="preserve">rut kho khoi Bybit/Bitget tai dinh markup (123-128d truoc)</t>
  </si>
  <si>
    <t xml:space="preserve">BscScan tay + Velo</t>
  </si>
  <si>
    <t xml:space="preserve">moi gom gia; CVD gay tu day</t>
  </si>
  <si>
    <t xml:space="preserve">07-29</t>
  </si>
  <si>
    <t xml:space="preserve">deposit 6% (~$2.64M) len san</t>
  </si>
  <si>
    <t xml:space="preserve">BscScan tay</t>
  </si>
  <si>
    <t xml:space="preserve">chuan bi dan</t>
  </si>
  <si>
    <t xml:space="preserve">perp: OI-floor 4.6M, gLSR 1.94 len, funding am 0.018%/8h duong</t>
  </si>
  <si>
    <t xml:space="preserve">probe + Velo</t>
  </si>
  <si>
    <t xml:space="preserve">crowd sai cho; san cua tay thao viec</t>
  </si>
  <si>
    <t xml:space="preserve">C. CHOT THEO DOI — doc moi ngay sau nen dong</t>
  </si>
  <si>
    <t xml:space="preserve">#</t>
  </si>
  <si>
    <t xml:space="preserve">chot</t>
  </si>
  <si>
    <t xml:space="preserve">dieu_kien</t>
  </si>
  <si>
    <t xml:space="preserve">nghia_khi_bat</t>
  </si>
  <si>
    <t xml:space="preserve">trang_thai_hom_nay</t>
  </si>
  <si>
    <t xml:space="preserve">1</t>
  </si>
  <si>
    <t xml:space="preserve">Ghe MM</t>
  </si>
  <si>
    <t xml:space="preserve">pos_r nhich ben tai nen OI 4.6M</t>
  </si>
  <si>
    <t xml:space="preserve">dinh luat #9 — MM ngoi them truoc keo, tin hieu dam</t>
  </si>
  <si>
    <t xml:space="preserve">1.661 baseline</t>
  </si>
  <si>
    <t xml:space="preserve">2</t>
  </si>
  <si>
    <t xml:space="preserve">Rua crowd</t>
  </si>
  <si>
    <t xml:space="preserve">crowd_flush bat ky bien the — gLSR 1.94 phai sap</t>
  </si>
  <si>
    <t xml:space="preserve">dieu kien tien quyet leg that</t>
  </si>
  <si>
    <t xml:space="preserve">PENDING</t>
  </si>
  <si>
    <t xml:space="preserve">3</t>
  </si>
  <si>
    <t xml:space="preserve">Kho 6%</t>
  </si>
  <si>
    <t xml:space="preserve">chuyen dong tiep (chia nho / them / rut lai)</t>
  </si>
  <si>
    <t xml:space="preserve">danh dau pha; rut-lai = moi vong moi</t>
  </si>
  <si>
    <t xml:space="preserve">vua len san</t>
  </si>
  <si>
    <t xml:space="preserve">4</t>
  </si>
  <si>
    <t xml:space="preserve">Bay BTW pha 2</t>
  </si>
  <si>
    <t xml:space="preserve">gia do phang + funding am phan ky</t>
  </si>
  <si>
    <t xml:space="preserve">suppressor funding_neg_div — xac nhan trap</t>
  </si>
  <si>
    <t xml:space="preserve">E. OUTCOME — dien tai moc; verdict_check: verdict luc mo DUNG/SAI o diem nao</t>
  </si>
  <si>
    <t xml:space="preserve">moc</t>
  </si>
  <si>
    <t xml:space="preserve">ngay_han</t>
  </si>
  <si>
    <t xml:space="preserve">px</t>
  </si>
  <si>
    <t xml:space="preserve">ret_pct</t>
  </si>
  <si>
    <t xml:space="preserve">drawup_drawdown</t>
  </si>
  <si>
    <t xml:space="preserve">gLSR</t>
  </si>
  <si>
    <t xml:space="preserve">dien_bien</t>
  </si>
  <si>
    <t xml:space="preserve">verdict_check</t>
  </si>
  <si>
    <t xml:space="preserve">T+7</t>
  </si>
  <si>
    <t xml:space="preserve">2026-08-05</t>
  </si>
  <si>
    <t xml:space="preserve">T+14</t>
  </si>
  <si>
    <t xml:space="preserve">2026-08-12</t>
  </si>
  <si>
    <t xml:space="preserve">T+30</t>
  </si>
  <si>
    <t xml:space="preserve">2026-08-28</t>
  </si>
  <si>
    <t xml:space="preserve">T+60</t>
  </si>
  <si>
    <t xml:space="preserve">2026-09-27</t>
  </si>
  <si>
    <t xml:space="preserve">I. MM / OPERATOR PROFILE — van tay hanh vi (moi MM danh mot kieu)</t>
  </si>
  <si>
    <t xml:space="preserve">MM cong bo / nghi van</t>
  </si>
  <si>
    <t xml:space="preserve">unknown — tra ho so listing/cong bo du an (PENDING)</t>
  </si>
  <si>
    <t xml:space="preserve">MM_ID</t>
  </si>
  <si>
    <t xml:space="preserve">MM-BAIT-B (3/3: bait-withdrawal tai dinh + funding duong dai thu phi + xa khong qua book)</t>
  </si>
  <si>
    <t xml:space="preserve">Van tay funding</t>
  </si>
  <si>
    <t xml:space="preserve">de duong gan lien tuc 4 thang gia giam — thu phi crowd long</t>
  </si>
  <si>
    <t xml:space="preserve">Van tay markup</t>
  </si>
  <si>
    <t xml:space="preserve">PENDING — leg keo sap toi (neu co) se lo van tay</t>
  </si>
  <si>
    <t xml:space="preserve">Ky thuat quan crowd</t>
  </si>
  <si>
    <t xml:space="preserve">chua thay cu flush ro — crowd dang duoc NUOI (gLSR len)</t>
  </si>
  <si>
    <t xml:space="preserve">Ky thuat moi on-chain</t>
  </si>
  <si>
    <t xml:space="preserve">bait-withdrawal tai dinh (T-125) — giong BTW nguyen ban</t>
  </si>
  <si>
    <t xml:space="preserve">Venue</t>
  </si>
  <si>
    <t xml:space="preserve">Binance perp (san chinh) + Gate spot (bai do, book sieu mong)</t>
  </si>
  <si>
    <t xml:space="preserve">Cross-campaign</t>
  </si>
  <si>
    <t xml:space="preserve">cung ho BTW — neu tim thay van tay dia chi trung: alert cap he thong</t>
  </si>
  <si>
    <t xml:space="preserve">Ung xu voi minh</t>
  </si>
  <si>
    <t xml:space="preserve">J. TOKENOMICS / UNLOCK — dong cung co lich, MM danh quanh no</t>
  </si>
  <si>
    <t xml:space="preserve">Circulating / Total</t>
  </si>
  <si>
    <t xml:space="preserve">Nguon tra</t>
  </si>
  <si>
    <t xml:space="preserve">PENDING — TRA NGAY (viec tay gap nhat case nay)</t>
  </si>
  <si>
    <t xml:space="preserve">Unlock KE TIEP</t>
  </si>
  <si>
    <t xml:space="preserve">PENDING — deposit 6% dung cach unlock bao xa quyet do khan kich ban</t>
  </si>
  <si>
    <t xml:space="preserve">Unlock 90 ngay toi</t>
  </si>
  <si>
    <t xml:space="preserve">Cliff da qua</t>
  </si>
  <si>
    <t xml:space="preserve">PENDING — hanh vi gia quanh cliff cu = mau hanh vi tay choi voi unlock</t>
  </si>
  <si>
    <t xml:space="preserve">Doc</t>
  </si>
  <si>
    <t xml:space="preserve">neu unlock lon 30-60d toi: kich ban keo-tao-hype-de-xa co deadline tu nhien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</si>
</sst>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0.000"/>
    <numFmt numFmtId="167" formatCode="0"/>
    <numFmt numFmtId="168" formatCode="0.0"/>
    <numFmt numFmtId="169" formatCode="@"/>
    <numFmt numFmtId="170" formatCode="0.0%"/>
    <numFmt numFmtId="171" formatCode="0.00000000"/>
    <numFmt numFmtId="172" formatCode="#,##0"/>
    <numFmt numFmtId="173" formatCode="0.000000"/>
    <numFmt numFmtId="174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F8CBAD"/>
        <bgColor rgb="FFFFF2CC"/>
      </patternFill>
    </fill>
    <fill>
      <patternFill patternType="solid">
        <fgColor rgb="FF404040"/>
        <bgColor rgb="FF37562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</row>
    <row r="5" customFormat="false" ht="15" hidden="false" customHeight="true" outlineLevel="0" collapsed="false">
      <c r="A5" s="3" t="s">
        <v>4</v>
      </c>
      <c r="B5" s="4" t="s">
        <v>5</v>
      </c>
    </row>
    <row r="6" customFormat="false" ht="15" hidden="false" customHeight="true" outlineLevel="0" collapsed="false">
      <c r="A6" s="3" t="s">
        <v>6</v>
      </c>
      <c r="B6" s="4" t="s">
        <v>7</v>
      </c>
    </row>
    <row r="7" customFormat="false" ht="15" hidden="false" customHeight="true" outlineLevel="0" collapsed="false">
      <c r="A7" s="3" t="s">
        <v>8</v>
      </c>
      <c r="B7" s="4" t="s">
        <v>9</v>
      </c>
    </row>
    <row r="8" customFormat="false" ht="15" hidden="false" customHeight="true" outlineLevel="0" collapsed="false">
      <c r="A8" s="3" t="s">
        <v>10</v>
      </c>
      <c r="B8" s="5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5" t="s">
        <v>19</v>
      </c>
    </row>
    <row r="14" customFormat="false" ht="39.75" hidden="false" customHeight="true" outlineLevel="0" collapsed="false">
      <c r="A14" s="6" t="s">
        <v>20</v>
      </c>
      <c r="B14" s="7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5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7" min="13" style="0" width="9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  <col collapsed="false" customWidth="true" hidden="false" outlineLevel="0" max="23" min="23" style="0" width="22"/>
    <col collapsed="false" customWidth="true" hidden="false" outlineLevel="0" max="24" min="24" style="0" width="16"/>
    <col collapsed="false" customWidth="true" hidden="false" outlineLevel="0" max="25" min="25" style="0" width="8"/>
    <col collapsed="false" customWidth="true" hidden="false" outlineLevel="0" max="26" min="26" style="0" width="7"/>
    <col collapsed="false" customWidth="true" hidden="false" outlineLevel="0" max="27" min="27" style="0" width="9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5" min="30" style="0" width="11"/>
    <col collapsed="false" customWidth="true" hidden="false" outlineLevel="0" max="36" min="36" style="0" width="9"/>
    <col collapsed="false" customWidth="true" hidden="false" outlineLevel="0" max="37" min="37" style="0" width="14"/>
    <col collapsed="false" customWidth="true" hidden="false" outlineLevel="0" max="38" min="38" style="0" width="18"/>
    <col collapsed="false" customWidth="true" hidden="false" outlineLevel="0" max="39" min="39" style="0" width="9"/>
    <col collapsed="false" customWidth="true" hidden="false" outlineLevel="0" max="40" min="40" style="0" width="30"/>
    <col collapsed="false" customWidth="true" hidden="false" outlineLevel="0" max="41" min="41" style="0" width="22"/>
  </cols>
  <sheetData>
    <row r="1" customFormat="false" ht="15.75" hidden="false" customHeight="true" outlineLevel="0" collapsed="false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9" t="s">
        <v>23</v>
      </c>
      <c r="AB1" s="9"/>
      <c r="AC1" s="9"/>
      <c r="AD1" s="9"/>
      <c r="AE1" s="9"/>
      <c r="AF1" s="9"/>
      <c r="AG1" s="9"/>
      <c r="AH1" s="9"/>
      <c r="AI1" s="9"/>
      <c r="AJ1" s="9"/>
      <c r="AK1" s="10" t="s">
        <v>24</v>
      </c>
      <c r="AL1" s="10"/>
      <c r="AM1" s="10"/>
      <c r="AN1" s="11" t="s">
        <v>25</v>
      </c>
      <c r="AO1" s="11"/>
    </row>
    <row r="2" customFormat="false" ht="15" hidden="false" customHeight="false" outlineLevel="0" collapsed="false">
      <c r="A2" s="12" t="s">
        <v>26</v>
      </c>
      <c r="B2" s="12" t="s">
        <v>27</v>
      </c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42</v>
      </c>
      <c r="R2" s="12" t="s">
        <v>43</v>
      </c>
      <c r="S2" s="12" t="s">
        <v>44</v>
      </c>
      <c r="T2" s="12" t="s">
        <v>45</v>
      </c>
      <c r="U2" s="12" t="s">
        <v>46</v>
      </c>
      <c r="V2" s="12" t="s">
        <v>47</v>
      </c>
      <c r="W2" s="12" t="s">
        <v>48</v>
      </c>
      <c r="X2" s="12" t="s">
        <v>49</v>
      </c>
      <c r="Y2" s="12" t="s">
        <v>50</v>
      </c>
      <c r="Z2" s="12" t="s">
        <v>51</v>
      </c>
      <c r="AA2" s="13" t="s">
        <v>52</v>
      </c>
      <c r="AB2" s="13" t="s">
        <v>53</v>
      </c>
      <c r="AC2" s="13" t="s">
        <v>54</v>
      </c>
      <c r="AD2" s="13" t="s">
        <v>55</v>
      </c>
      <c r="AE2" s="13" t="s">
        <v>56</v>
      </c>
      <c r="AF2" s="13" t="s">
        <v>57</v>
      </c>
      <c r="AG2" s="13" t="s">
        <v>58</v>
      </c>
      <c r="AH2" s="13" t="s">
        <v>59</v>
      </c>
      <c r="AI2" s="13" t="s">
        <v>60</v>
      </c>
      <c r="AJ2" s="13" t="s">
        <v>61</v>
      </c>
      <c r="AK2" s="14" t="s">
        <v>62</v>
      </c>
      <c r="AL2" s="14" t="s">
        <v>63</v>
      </c>
      <c r="AM2" s="14" t="s">
        <v>64</v>
      </c>
      <c r="AN2" s="14" t="s">
        <v>65</v>
      </c>
      <c r="AO2" s="14" t="s">
        <v>66</v>
      </c>
    </row>
    <row r="3" customFormat="false" ht="15" hidden="false" customHeight="false" outlineLevel="0" collapsed="false">
      <c r="A3" s="15" t="s">
        <v>67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7" t="str">
        <f aca="false">IFERROR(O3/P3,"")</f>
        <v/>
      </c>
      <c r="S3" s="16"/>
      <c r="T3" s="16"/>
      <c r="U3" s="16"/>
      <c r="V3" s="16"/>
      <c r="W3" s="16"/>
      <c r="X3" s="16"/>
      <c r="Y3" s="16"/>
      <c r="Z3" s="18" t="n">
        <v>1</v>
      </c>
      <c r="AA3" s="16"/>
      <c r="AB3" s="16"/>
      <c r="AC3" s="16"/>
      <c r="AD3" s="16"/>
      <c r="AE3" s="16"/>
      <c r="AF3" s="16"/>
      <c r="AG3" s="16"/>
      <c r="AH3" s="16"/>
      <c r="AI3" s="16"/>
      <c r="AJ3" s="19" t="str">
        <f aca="false">IF(OR(AB3="",D3="",D3=0),"",AB3/D3)</f>
        <v/>
      </c>
      <c r="AK3" s="16"/>
      <c r="AL3" s="16"/>
      <c r="AM3" s="16"/>
      <c r="AN3" s="20" t="s">
        <v>68</v>
      </c>
      <c r="AO3" s="16"/>
    </row>
    <row r="4" customFormat="false" ht="15" hidden="false" customHeight="false" outlineLevel="0" collapsed="false">
      <c r="A4" s="15" t="s">
        <v>69</v>
      </c>
      <c r="B4" s="16"/>
      <c r="C4" s="21" t="str">
        <f aca="false">IFERROR(B4/B3-1,"")</f>
        <v/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7" t="str">
        <f aca="false">IFERROR(O4/P4,"")</f>
        <v/>
      </c>
      <c r="S4" s="16"/>
      <c r="T4" s="16"/>
      <c r="U4" s="16"/>
      <c r="V4" s="16"/>
      <c r="W4" s="16"/>
      <c r="X4" s="16"/>
      <c r="Y4" s="16"/>
      <c r="Z4" s="18" t="n">
        <v>1</v>
      </c>
      <c r="AA4" s="16"/>
      <c r="AB4" s="16"/>
      <c r="AC4" s="16"/>
      <c r="AD4" s="16"/>
      <c r="AE4" s="16"/>
      <c r="AF4" s="16"/>
      <c r="AG4" s="16"/>
      <c r="AH4" s="16"/>
      <c r="AI4" s="16"/>
      <c r="AJ4" s="19" t="str">
        <f aca="false">IF(OR(AB4="",D4="",D4=0),"",AB4/D4)</f>
        <v/>
      </c>
      <c r="AK4" s="16"/>
      <c r="AL4" s="16"/>
      <c r="AM4" s="16"/>
      <c r="AN4" s="20" t="s">
        <v>70</v>
      </c>
      <c r="AO4" s="16"/>
    </row>
    <row r="5" customFormat="false" ht="15" hidden="false" customHeight="false" outlineLevel="0" collapsed="false">
      <c r="A5" s="15" t="s">
        <v>71</v>
      </c>
      <c r="B5" s="16"/>
      <c r="C5" s="21" t="str">
        <f aca="false">IFERROR(B5/B4-1,"")</f>
        <v/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7" t="str">
        <f aca="false">IFERROR(O5/P5,"")</f>
        <v/>
      </c>
      <c r="S5" s="17" t="str">
        <f aca="false">IFERROR(AVERAGE(R3:R5),"")</f>
        <v/>
      </c>
      <c r="T5" s="16"/>
      <c r="U5" s="16"/>
      <c r="V5" s="16"/>
      <c r="W5" s="16"/>
      <c r="X5" s="16"/>
      <c r="Y5" s="16"/>
      <c r="Z5" s="18" t="n">
        <v>1</v>
      </c>
      <c r="AA5" s="16"/>
      <c r="AB5" s="16"/>
      <c r="AC5" s="16"/>
      <c r="AD5" s="16"/>
      <c r="AE5" s="16"/>
      <c r="AF5" s="16"/>
      <c r="AG5" s="16"/>
      <c r="AH5" s="16"/>
      <c r="AI5" s="16"/>
      <c r="AJ5" s="19" t="str">
        <f aca="false">IF(OR(AB5="",D5="",D5=0),"",AB5/D5)</f>
        <v/>
      </c>
      <c r="AK5" s="16"/>
      <c r="AL5" s="16"/>
      <c r="AM5" s="16"/>
      <c r="AN5" s="20" t="s">
        <v>70</v>
      </c>
      <c r="AO5" s="16"/>
    </row>
    <row r="6" customFormat="false" ht="15" hidden="false" customHeight="false" outlineLevel="0" collapsed="false">
      <c r="A6" s="22" t="s">
        <v>72</v>
      </c>
      <c r="B6" s="23" t="n">
        <v>0.15158</v>
      </c>
      <c r="C6" s="24" t="str">
        <f aca="false">IFERROR(B6/B5-1,"")</f>
        <v/>
      </c>
      <c r="R6" s="25" t="str">
        <f aca="false">IFERROR(O6/P6,"")</f>
        <v/>
      </c>
      <c r="S6" s="25" t="str">
        <f aca="false">IFERROR(AVERAGE(R4:R6),"")</f>
        <v/>
      </c>
      <c r="U6" s="24" t="str">
        <f aca="false">IFERROR(O6/O3-1,"")</f>
        <v/>
      </c>
      <c r="V6" s="24" t="str">
        <f aca="false">IFERROR(P6/P3-1,"")</f>
        <v/>
      </c>
      <c r="AA6" s="26" t="s">
        <v>73</v>
      </c>
      <c r="AB6" s="27" t="n">
        <v>447807</v>
      </c>
      <c r="AJ6" s="28" t="str">
        <f aca="false">IF(OR(AB6="",D6="",D6=0),"",AB6/D6)</f>
        <v/>
      </c>
      <c r="AN6" s="26" t="s">
        <v>74</v>
      </c>
    </row>
    <row r="7" customFormat="false" ht="15" hidden="false" customHeight="false" outlineLevel="0" collapsed="false">
      <c r="A7" s="15" t="s">
        <v>75</v>
      </c>
      <c r="B7" s="16"/>
      <c r="C7" s="21" t="n">
        <f aca="false">IFERROR(B7/B6-1,"")</f>
        <v>-1</v>
      </c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7" t="str">
        <f aca="false">IFERROR(O7/P7,"")</f>
        <v/>
      </c>
      <c r="S7" s="17" t="str">
        <f aca="false">IFERROR(AVERAGE(R5:R7),"")</f>
        <v/>
      </c>
      <c r="T7" s="16"/>
      <c r="U7" s="21" t="str">
        <f aca="false">IFERROR(O7/O4-1,"")</f>
        <v/>
      </c>
      <c r="V7" s="21" t="str">
        <f aca="false">IFERROR(P7/P4-1,"")</f>
        <v/>
      </c>
      <c r="W7" s="16"/>
      <c r="X7" s="16"/>
      <c r="Y7" s="16"/>
      <c r="Z7" s="18" t="n">
        <v>1</v>
      </c>
      <c r="AA7" s="16"/>
      <c r="AB7" s="16"/>
      <c r="AC7" s="16"/>
      <c r="AD7" s="16"/>
      <c r="AE7" s="16"/>
      <c r="AF7" s="16"/>
      <c r="AG7" s="16"/>
      <c r="AH7" s="16"/>
      <c r="AI7" s="16"/>
      <c r="AJ7" s="19" t="str">
        <f aca="false">IF(OR(AB7="",D7="",D7=0),"",AB7/D7)</f>
        <v/>
      </c>
      <c r="AK7" s="16"/>
      <c r="AL7" s="16"/>
      <c r="AM7" s="16"/>
      <c r="AN7" s="20" t="s">
        <v>76</v>
      </c>
      <c r="AO7" s="16"/>
    </row>
    <row r="8" customFormat="false" ht="15" hidden="false" customHeight="false" outlineLevel="0" collapsed="false">
      <c r="A8" s="22" t="s">
        <v>77</v>
      </c>
      <c r="B8" s="23" t="n">
        <v>0.146</v>
      </c>
      <c r="C8" s="24" t="str">
        <f aca="false">IFERROR(B8/B7-1,"")</f>
        <v/>
      </c>
      <c r="F8" s="29" t="n">
        <v>0.00018</v>
      </c>
      <c r="J8" s="26" t="s">
        <v>78</v>
      </c>
      <c r="L8" s="27" t="n">
        <v>4634000</v>
      </c>
      <c r="N8" s="26" t="s">
        <v>79</v>
      </c>
      <c r="O8" s="30" t="n">
        <v>1.661</v>
      </c>
      <c r="P8" s="30" t="n">
        <v>1.49</v>
      </c>
      <c r="Q8" s="30" t="n">
        <v>1.944</v>
      </c>
      <c r="R8" s="25" t="n">
        <f aca="false">IFERROR(O8/P8,"")</f>
        <v>1.11476510067114</v>
      </c>
      <c r="S8" s="25" t="n">
        <f aca="false">IFERROR(AVERAGE(R6:R8),"")</f>
        <v>1.11476510067114</v>
      </c>
      <c r="T8" s="25" t="str">
        <f aca="false">IFERROR(Q8/Q3,"")</f>
        <v/>
      </c>
      <c r="U8" s="24" t="str">
        <f aca="false">IFERROR(O8/O5-1,"")</f>
        <v/>
      </c>
      <c r="V8" s="24" t="str">
        <f aca="false">IFERROR(P8/P5-1,"")</f>
        <v/>
      </c>
      <c r="AA8" s="26" t="s">
        <v>73</v>
      </c>
      <c r="AD8" s="27" t="n">
        <v>2217</v>
      </c>
      <c r="AE8" s="27" t="n">
        <v>1364</v>
      </c>
      <c r="AJ8" s="28" t="str">
        <f aca="false">IF(OR(AB8="",D8="",D8=0),"",AB8/D8)</f>
        <v/>
      </c>
      <c r="AK8" s="26" t="s">
        <v>80</v>
      </c>
      <c r="AL8" s="26" t="s">
        <v>81</v>
      </c>
      <c r="AN8" s="26" t="s">
        <v>82</v>
      </c>
      <c r="AO8" s="26" t="s">
        <v>83</v>
      </c>
    </row>
    <row r="10" customFormat="false" ht="15" hidden="false" customHeight="true" outlineLevel="0" collapsed="false">
      <c r="A10" s="31" t="s">
        <v>84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</row>
  </sheetData>
  <mergeCells count="5">
    <mergeCell ref="A1:Z1"/>
    <mergeCell ref="AA1:AJ1"/>
    <mergeCell ref="AK1:AM1"/>
    <mergeCell ref="AN1:AO1"/>
    <mergeCell ref="A10:L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5"/>
  </cols>
  <sheetData>
    <row r="1" customFormat="false" ht="16.15" hidden="false" customHeight="false" outlineLevel="0" collapsed="false">
      <c r="A1" s="1" t="s">
        <v>85</v>
      </c>
    </row>
    <row r="3" customFormat="false" ht="15" hidden="false" customHeight="false" outlineLevel="0" collapsed="false">
      <c r="A3" s="32" t="s">
        <v>86</v>
      </c>
      <c r="B3" s="32" t="s">
        <v>87</v>
      </c>
      <c r="C3" s="32" t="s">
        <v>88</v>
      </c>
      <c r="D3" s="32" t="s">
        <v>89</v>
      </c>
    </row>
    <row r="4" customFormat="false" ht="15" hidden="false" customHeight="false" outlineLevel="0" collapsed="false">
      <c r="A4" s="4" t="s">
        <v>90</v>
      </c>
      <c r="B4" s="4" t="s">
        <v>91</v>
      </c>
      <c r="C4" s="4" t="s">
        <v>92</v>
      </c>
      <c r="D4" s="4" t="s">
        <v>93</v>
      </c>
    </row>
    <row r="5" customFormat="false" ht="15" hidden="false" customHeight="false" outlineLevel="0" collapsed="false">
      <c r="A5" s="4" t="s">
        <v>94</v>
      </c>
      <c r="B5" s="4" t="s">
        <v>95</v>
      </c>
      <c r="C5" s="4" t="s">
        <v>96</v>
      </c>
      <c r="D5" s="4" t="s">
        <v>97</v>
      </c>
    </row>
    <row r="6" customFormat="false" ht="15" hidden="false" customHeight="false" outlineLevel="0" collapsed="false">
      <c r="A6" s="4" t="s">
        <v>94</v>
      </c>
      <c r="B6" s="4" t="s">
        <v>98</v>
      </c>
      <c r="C6" s="4" t="s">
        <v>99</v>
      </c>
      <c r="D6" s="4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6.15" hidden="false" customHeight="false" outlineLevel="0" collapsed="false">
      <c r="A1" s="1" t="s">
        <v>101</v>
      </c>
    </row>
    <row r="3" customFormat="false" ht="15" hidden="false" customHeight="false" outlineLevel="0" collapsed="false">
      <c r="A3" s="32" t="s">
        <v>102</v>
      </c>
      <c r="B3" s="32" t="s">
        <v>103</v>
      </c>
      <c r="C3" s="32" t="s">
        <v>104</v>
      </c>
      <c r="D3" s="32" t="s">
        <v>105</v>
      </c>
      <c r="E3" s="32" t="s">
        <v>106</v>
      </c>
    </row>
    <row r="4" customFormat="false" ht="23.85" hidden="false" customHeight="false" outlineLevel="0" collapsed="false">
      <c r="A4" s="4" t="s">
        <v>107</v>
      </c>
      <c r="B4" s="4" t="s">
        <v>108</v>
      </c>
      <c r="C4" s="4" t="s">
        <v>109</v>
      </c>
      <c r="D4" s="4" t="s">
        <v>110</v>
      </c>
      <c r="E4" s="5" t="s">
        <v>111</v>
      </c>
    </row>
    <row r="5" customFormat="false" ht="15" hidden="false" customHeight="false" outlineLevel="0" collapsed="false">
      <c r="A5" s="4" t="s">
        <v>112</v>
      </c>
      <c r="B5" s="4" t="s">
        <v>113</v>
      </c>
      <c r="C5" s="4" t="s">
        <v>114</v>
      </c>
      <c r="D5" s="4" t="s">
        <v>115</v>
      </c>
      <c r="E5" s="5" t="s">
        <v>116</v>
      </c>
    </row>
    <row r="6" customFormat="false" ht="15" hidden="false" customHeight="false" outlineLevel="0" collapsed="false">
      <c r="A6" s="4" t="s">
        <v>117</v>
      </c>
      <c r="B6" s="4" t="s">
        <v>118</v>
      </c>
      <c r="C6" s="4" t="s">
        <v>119</v>
      </c>
      <c r="D6" s="4" t="s">
        <v>120</v>
      </c>
      <c r="E6" s="5" t="s">
        <v>121</v>
      </c>
    </row>
    <row r="7" customFormat="false" ht="15" hidden="false" customHeight="false" outlineLevel="0" collapsed="false">
      <c r="A7" s="4" t="s">
        <v>122</v>
      </c>
      <c r="B7" s="4" t="s">
        <v>123</v>
      </c>
      <c r="C7" s="4" t="s">
        <v>124</v>
      </c>
      <c r="D7" s="4" t="s">
        <v>125</v>
      </c>
      <c r="E7" s="5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42"/>
  </cols>
  <sheetData>
    <row r="1" customFormat="false" ht="16.15" hidden="false" customHeight="false" outlineLevel="0" collapsed="false">
      <c r="A1" s="1" t="s">
        <v>126</v>
      </c>
    </row>
    <row r="3" customFormat="false" ht="15" hidden="false" customHeight="false" outlineLevel="0" collapsed="false">
      <c r="A3" s="32" t="s">
        <v>127</v>
      </c>
      <c r="B3" s="32" t="s">
        <v>128</v>
      </c>
      <c r="C3" s="32" t="s">
        <v>129</v>
      </c>
      <c r="D3" s="32" t="s">
        <v>130</v>
      </c>
      <c r="E3" s="32" t="s">
        <v>131</v>
      </c>
      <c r="F3" s="32" t="s">
        <v>37</v>
      </c>
      <c r="G3" s="32" t="s">
        <v>132</v>
      </c>
      <c r="H3" s="32" t="s">
        <v>133</v>
      </c>
      <c r="I3" s="32" t="s">
        <v>134</v>
      </c>
    </row>
    <row r="4" customFormat="false" ht="15" hidden="false" customHeight="false" outlineLevel="0" collapsed="false">
      <c r="A4" s="4" t="s">
        <v>135</v>
      </c>
      <c r="B4" s="4" t="s">
        <v>136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4" t="s">
        <v>137</v>
      </c>
      <c r="B5" s="4" t="s">
        <v>138</v>
      </c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4" t="s">
        <v>139</v>
      </c>
      <c r="B6" s="4" t="s">
        <v>140</v>
      </c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4" t="s">
        <v>141</v>
      </c>
      <c r="B7" s="4" t="s">
        <v>142</v>
      </c>
      <c r="C7" s="5"/>
      <c r="D7" s="5"/>
      <c r="E7" s="5"/>
      <c r="F7" s="5"/>
      <c r="G7" s="5"/>
      <c r="H7" s="5"/>
      <c r="I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143</v>
      </c>
    </row>
    <row r="3" customFormat="false" ht="15" hidden="false" customHeight="true" outlineLevel="0" collapsed="false">
      <c r="A3" s="3" t="s">
        <v>144</v>
      </c>
      <c r="B3" s="5" t="s">
        <v>145</v>
      </c>
    </row>
    <row r="4" customFormat="false" ht="15" hidden="false" customHeight="true" outlineLevel="0" collapsed="false">
      <c r="A4" s="3" t="s">
        <v>146</v>
      </c>
      <c r="B4" s="4" t="s">
        <v>147</v>
      </c>
    </row>
    <row r="5" customFormat="false" ht="15" hidden="false" customHeight="true" outlineLevel="0" collapsed="false">
      <c r="A5" s="3" t="s">
        <v>148</v>
      </c>
      <c r="B5" s="4" t="s">
        <v>149</v>
      </c>
    </row>
    <row r="6" customFormat="false" ht="15" hidden="false" customHeight="true" outlineLevel="0" collapsed="false">
      <c r="A6" s="3" t="s">
        <v>150</v>
      </c>
      <c r="B6" s="5" t="s">
        <v>151</v>
      </c>
    </row>
    <row r="7" customFormat="false" ht="15" hidden="false" customHeight="true" outlineLevel="0" collapsed="false">
      <c r="A7" s="3" t="s">
        <v>152</v>
      </c>
      <c r="B7" s="4" t="s">
        <v>153</v>
      </c>
    </row>
    <row r="8" customFormat="false" ht="15" hidden="false" customHeight="true" outlineLevel="0" collapsed="false">
      <c r="A8" s="3" t="s">
        <v>154</v>
      </c>
      <c r="B8" s="4" t="s">
        <v>155</v>
      </c>
    </row>
    <row r="9" customFormat="false" ht="15" hidden="false" customHeight="true" outlineLevel="0" collapsed="false">
      <c r="A9" s="3" t="s">
        <v>156</v>
      </c>
      <c r="B9" s="4" t="s">
        <v>157</v>
      </c>
    </row>
    <row r="10" customFormat="false" ht="15" hidden="false" customHeight="true" outlineLevel="0" collapsed="false">
      <c r="A10" s="3" t="s">
        <v>158</v>
      </c>
      <c r="B10" s="4" t="s">
        <v>159</v>
      </c>
    </row>
    <row r="11" customFormat="false" ht="15" hidden="false" customHeight="true" outlineLevel="0" collapsed="false">
      <c r="A11" s="3" t="s">
        <v>160</v>
      </c>
      <c r="B11" s="5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161</v>
      </c>
    </row>
    <row r="3" customFormat="false" ht="15" hidden="false" customHeight="true" outlineLevel="0" collapsed="false">
      <c r="A3" s="3" t="s">
        <v>162</v>
      </c>
      <c r="B3" s="5" t="s">
        <v>116</v>
      </c>
    </row>
    <row r="4" customFormat="false" ht="15" hidden="false" customHeight="true" outlineLevel="0" collapsed="false">
      <c r="A4" s="3" t="s">
        <v>163</v>
      </c>
      <c r="B4" s="5" t="s">
        <v>164</v>
      </c>
    </row>
    <row r="5" customFormat="false" ht="15" hidden="false" customHeight="true" outlineLevel="0" collapsed="false">
      <c r="A5" s="3" t="s">
        <v>165</v>
      </c>
      <c r="B5" s="5" t="s">
        <v>166</v>
      </c>
    </row>
    <row r="6" customFormat="false" ht="15" hidden="false" customHeight="true" outlineLevel="0" collapsed="false">
      <c r="A6" s="3" t="s">
        <v>167</v>
      </c>
      <c r="B6" s="5" t="s">
        <v>116</v>
      </c>
    </row>
    <row r="7" customFormat="false" ht="15" hidden="false" customHeight="true" outlineLevel="0" collapsed="false">
      <c r="A7" s="3" t="s">
        <v>168</v>
      </c>
      <c r="B7" s="5" t="s">
        <v>169</v>
      </c>
    </row>
    <row r="8" customFormat="false" ht="15" hidden="false" customHeight="true" outlineLevel="0" collapsed="false">
      <c r="A8" s="3" t="s">
        <v>170</v>
      </c>
      <c r="B8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2026-07-29T03:24:04Z</dcterms:created>
  <dc:creator>openpyxl</dc:creator>
  <dc:description/>
  <dc:language>en-US</dc:language>
  <cp:lastModifiedBy/>
  <dcterms:modified xsi:type="dcterms:W3CDTF">2026-07-29T03:24:04Z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