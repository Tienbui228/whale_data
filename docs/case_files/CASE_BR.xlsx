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5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%"/>
    <numFmt numFmtId="167" formatCode="0.000"/>
    <numFmt numFmtId="168" formatCode="0.0"/>
    <numFmt numFmtId="169" formatCode="0.000000"/>
    <numFmt numFmtId="170" formatCode="0.00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49" fontId="4" fillId="0" borderId="1" pivotButton="0" quotePrefix="0" xfId="0"/>
    <xf numFmtId="3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0" fontId="6" fillId="9" borderId="1" applyAlignment="1" pivotButton="0" quotePrefix="0" xfId="0">
      <alignment horizontal="center" vertical="center"/>
    </xf>
    <xf numFmtId="1" fontId="4" fillId="0" borderId="1" pivotButton="0" quotePrefix="0" xfId="0"/>
    <xf numFmtId="0" fontId="0" fillId="10" borderId="0" pivotButton="0" quotePrefix="0" xfId="0"/>
    <xf numFmtId="0" fontId="5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167" fontId="4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5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B14" sqref="B14"/>
    </sheetView>
  </sheetViews>
  <sheetFormatPr baseColWidth="8" defaultColWidth="8.6640625" defaultRowHeight="14.4"/>
  <cols>
    <col width="26" customWidth="1" style="24" min="1" max="1"/>
    <col width="100" customWidth="1" style="24" min="2" max="2"/>
  </cols>
  <sheetData>
    <row r="1" ht="16.2" customHeight="1" s="24">
      <c r="A1" s="1" t="inlineStr">
        <is>
          <t>CASE FILE — BR</t>
        </is>
      </c>
    </row>
    <row r="2" ht="15" customHeight="1" s="24">
      <c r="A2" s="2" t="inlineStr">
        <is>
          <t>Nguon: case_tracker v1.1 · verdict chi operator ghi · so kem nguon · PENDING khong doan</t>
        </is>
      </c>
    </row>
    <row r="4" ht="15" customHeight="1" s="24">
      <c r="A4" s="3" t="inlineStr">
        <is>
          <t>Status</t>
        </is>
      </c>
      <c r="B4" s="4" t="inlineStr">
        <is>
          <t>OPEN — STAND_ASIDE</t>
        </is>
      </c>
    </row>
    <row r="5" ht="15" customHeight="1" s="24">
      <c r="A5" s="3" t="inlineStr">
        <is>
          <t>Loai</t>
        </is>
      </c>
      <c r="B5" s="4" t="inlineStr">
        <is>
          <t>pump-to-distribute: kho 6% quay lai san, kha nang leg keo tao hype truoc khi xa</t>
        </is>
      </c>
    </row>
    <row r="6" ht="15" customHeight="1" s="24">
      <c r="A6" s="3" t="inlineStr">
        <is>
          <t>Ngay phat hien</t>
        </is>
      </c>
      <c r="B6" s="4" t="inlineStr">
        <is>
          <t>29/07 — deposit 6% supply (~$2.64M)</t>
        </is>
      </c>
    </row>
    <row r="7" ht="15" customHeight="1" s="24">
      <c r="A7" s="3" t="inlineStr">
        <is>
          <t>T0</t>
        </is>
      </c>
      <c r="B7" s="4" t="inlineStr">
        <is>
          <t>chua (T0 = ignition leg keo NEU xay ra) · px 29/07 ~0.146</t>
        </is>
      </c>
    </row>
    <row r="8" ht="15" customHeight="1" s="24">
      <c r="A8" s="3" t="inlineStr">
        <is>
          <t>action_class</t>
        </is>
      </c>
      <c r="B8" s="5" t="inlineStr">
        <is>
          <t>STAND_ASIDE — khong doc deposit thanh tin hieu long; chi xet lai khi chot 1+2 cung bat</t>
        </is>
      </c>
    </row>
    <row r="9" ht="15" customHeight="1" s="24">
      <c r="A9" s="3" t="inlineStr">
        <is>
          <t>Vi the</t>
        </is>
      </c>
      <c r="B9" s="4" t="inlineStr">
        <is>
          <t>none</t>
        </is>
      </c>
    </row>
    <row r="10" ht="15" customHeight="1" s="24">
      <c r="A10" s="3" t="inlineStr">
        <is>
          <t>Tom tat input</t>
        </is>
      </c>
      <c r="B10" s="4" t="inlineStr">
        <is>
          <t>Vong doi hang truy tron: rut Bybit/Bitget tai DINH markup ~T3/2026 (moi 'smart money gom') trong khi spot CVD gay doc -70M tu do -&gt; phan phoi 4 thang -&gt; nay redeposit · perp: px -3.3% tu dinh 30d, OI-FLOOR 16M-&gt;4.6M, div 1.1, gLSR 1.944 dang bo len, funding duong 4 thang (crowd tra phi suot duong xuong — cau hinh ESPORTS) · book khong nuot noi: 1191x depth, 45.7x vol ngay</t>
        </is>
      </c>
    </row>
    <row r="11" ht="15" customHeight="1" s="24">
      <c r="A11" s="3" t="inlineStr">
        <is>
          <t>Verdict (operator, ky 30/07)</t>
        </is>
      </c>
      <c r="B11" s="4" t="inlineStr">
        <is>
          <t>BAIT_WITHDRAWAL (pha goc T-125) -&gt; nay staging cho PLAIN_DISTRIBUTION co leg keo phia truoc. Token vao SO DEN moi-on-chain (bang chung #2 sau BTW). Khong long theo leg keo: khong co ghe big-long de di cung — long = vi tri con moi</t>
        </is>
      </c>
    </row>
    <row r="12" ht="15" customHeight="1" s="24">
      <c r="A12" s="3" t="inlineStr">
        <is>
          <t>Dieu gi chung minh SAI</t>
        </is>
      </c>
      <c r="B12" s="5" t="inlineStr">
        <is>
          <t>pos_r tang ben tai nen + gLSR duoc rua manh + pin moi xuat hien = cau truc campaign chuan hinh thanh -&gt; doc lai tu dau</t>
        </is>
      </c>
    </row>
    <row r="14" ht="39.75" customHeight="1" s="24">
      <c r="A14" s="6" t="inlineStr">
        <is>
          <t>LEGEND</t>
        </is>
      </c>
      <c r="B14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7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:Z1"/>
    </sheetView>
  </sheetViews>
  <sheetFormatPr baseColWidth="8" defaultColWidth="8.6640625" defaultRowHeight="14.4"/>
  <cols>
    <col width="10" customWidth="1" style="24" min="1" max="1"/>
    <col width="11" customWidth="1" style="24" min="2" max="2"/>
    <col width="8" customWidth="1" style="24" min="3" max="3"/>
    <col width="13" customWidth="1" style="24" min="4" max="4"/>
    <col width="9" customWidth="1" style="24" min="5" max="5"/>
    <col width="10" customWidth="1" style="24" min="6" max="8"/>
    <col width="5" customWidth="1" style="24" min="9" max="9"/>
    <col width="12" customWidth="1" style="24" min="10" max="10"/>
    <col width="7" customWidth="1" style="24" min="11" max="11"/>
    <col width="13" customWidth="1" style="24" min="12" max="12"/>
    <col width="9" customWidth="1" style="24" min="13" max="17"/>
    <col width="8" customWidth="1" style="24" min="18" max="19"/>
    <col width="9" customWidth="1" style="24" min="20" max="20"/>
    <col width="8" customWidth="1" style="24" min="21" max="22"/>
    <col width="22" customWidth="1" style="24" min="23" max="23"/>
    <col width="16" customWidth="1" style="24" min="24" max="24"/>
    <col width="8" customWidth="1" style="24" min="25" max="25"/>
    <col width="7" customWidth="1" style="24" min="26" max="26"/>
    <col width="9" customWidth="1" style="24" min="27" max="27"/>
    <col width="12" customWidth="1" style="24" min="28" max="28"/>
    <col width="9" customWidth="1" style="24" min="29" max="29"/>
    <col width="11" customWidth="1" style="24" min="30" max="35"/>
    <col width="9" customWidth="1" style="24" min="36" max="36"/>
    <col width="14" customWidth="1" style="24" min="37" max="37"/>
    <col width="18" customWidth="1" style="24" min="38" max="38"/>
    <col width="9" customWidth="1" style="24" min="39" max="39"/>
    <col width="30" customWidth="1" style="24" min="40" max="40"/>
    <col width="22" customWidth="1" style="24" min="41" max="41"/>
  </cols>
  <sheetData>
    <row r="1" ht="15.75" customHeight="1" s="24">
      <c r="A1" s="23" t="inlineStr">
        <is>
          <t>PERP (may)</t>
        </is>
      </c>
      <c r="AA1" s="25" t="inlineStr">
        <is>
          <t>SPOT/ALPHA (may)</t>
        </is>
      </c>
      <c r="AK1" s="26" t="inlineStr">
        <is>
          <t>ON-CHAIN (ban tu dong)</t>
        </is>
      </c>
      <c r="AN1" s="27" t="inlineStr">
        <is>
          <t>MANUAL (operator)</t>
        </is>
      </c>
    </row>
    <row r="2" ht="15" customHeight="1" s="24">
      <c r="A2" s="8" t="inlineStr">
        <is>
          <t>date</t>
        </is>
      </c>
      <c r="B2" s="8" t="inlineStr">
        <is>
          <t>px_avg</t>
        </is>
      </c>
      <c r="C2" s="8" t="inlineStr">
        <is>
          <t>ret_1d</t>
        </is>
      </c>
      <c r="D2" s="8" t="inlineStr">
        <is>
          <t>vol_perp_usd</t>
        </is>
      </c>
      <c r="E2" s="8" t="inlineStr">
        <is>
          <t>taker_buy_pct</t>
        </is>
      </c>
      <c r="F2" s="8" t="inlineStr">
        <is>
          <t>f_avg</t>
        </is>
      </c>
      <c r="G2" s="8" t="inlineStr">
        <is>
          <t>f_min</t>
        </is>
      </c>
      <c r="H2" s="8" t="inlineStr">
        <is>
          <t>f_max</t>
        </is>
      </c>
      <c r="I2" s="8" t="inlineStr">
        <is>
          <t>f_n</t>
        </is>
      </c>
      <c r="J2" s="8" t="inlineStr">
        <is>
          <t>funding_regime</t>
        </is>
      </c>
      <c r="K2" s="8" t="inlineStr">
        <is>
          <t>pin_streak</t>
        </is>
      </c>
      <c r="L2" s="8" t="inlineStr">
        <is>
          <t>oi_usd</t>
        </is>
      </c>
      <c r="M2" s="8" t="inlineStr">
        <is>
          <t>oi_vs_med14</t>
        </is>
      </c>
      <c r="N2" s="8" t="inlineStr">
        <is>
          <t>oi_cycle_pos</t>
        </is>
      </c>
      <c r="O2" s="8" t="inlineStr">
        <is>
          <t>lsr_pos_r</t>
        </is>
      </c>
      <c r="P2" s="8" t="inlineStr">
        <is>
          <t>lsr_acc_r</t>
        </is>
      </c>
      <c r="Q2" s="8" t="inlineStr">
        <is>
          <t>lsr_global_r</t>
        </is>
      </c>
      <c r="R2" s="8" t="inlineStr">
        <is>
          <t>div_raw</t>
        </is>
      </c>
      <c r="S2" s="8" t="inlineStr">
        <is>
          <t>div_avg3</t>
        </is>
      </c>
      <c r="T2" s="8" t="inlineStr">
        <is>
          <t>glsr_slope_5d</t>
        </is>
      </c>
      <c r="U2" s="8" t="inlineStr">
        <is>
          <t>d_pos_3d</t>
        </is>
      </c>
      <c r="V2" s="8" t="inlineStr">
        <is>
          <t>d_acc_3d</t>
        </is>
      </c>
      <c r="W2" s="8" t="inlineStr">
        <is>
          <t>signals_bullish</t>
        </is>
      </c>
      <c r="X2" s="8" t="inlineStr">
        <is>
          <t>signals_suppress</t>
        </is>
      </c>
      <c r="Y2" s="8" t="inlineStr">
        <is>
          <t>screen_rank</t>
        </is>
      </c>
      <c r="Z2" s="8" t="inlineStr">
        <is>
          <t>data_bad</t>
        </is>
      </c>
      <c r="AA2" s="9" t="inlineStr">
        <is>
          <t>spot_venue</t>
        </is>
      </c>
      <c r="AB2" s="9" t="inlineStr">
        <is>
          <t>vol_spot_usd</t>
        </is>
      </c>
      <c r="AC2" s="9" t="inlineStr">
        <is>
          <t>taker_spot_pct</t>
        </is>
      </c>
      <c r="AD2" s="9" t="inlineStr">
        <is>
          <t>depth_bid2_usd</t>
        </is>
      </c>
      <c r="AE2" s="9" t="inlineStr">
        <is>
          <t>depth_ask2_usd</t>
        </is>
      </c>
      <c r="AF2" s="9" t="inlineStr">
        <is>
          <t>bid_wall_px</t>
        </is>
      </c>
      <c r="AG2" s="9" t="inlineStr">
        <is>
          <t>bid_wall_usd</t>
        </is>
      </c>
      <c r="AH2" s="9" t="inlineStr">
        <is>
          <t>ask_wall_px</t>
        </is>
      </c>
      <c r="AI2" s="9" t="inlineStr">
        <is>
          <t>ask_wall_usd</t>
        </is>
      </c>
      <c r="AJ2" s="9" t="inlineStr">
        <is>
          <t>alpha_suspect</t>
        </is>
      </c>
      <c r="AK2" s="10" t="inlineStr">
        <is>
          <t>exch_balance_delta</t>
        </is>
      </c>
      <c r="AL2" s="10" t="inlineStr">
        <is>
          <t>wallet_activity</t>
        </is>
      </c>
      <c r="AM2" s="10" t="inlineStr">
        <is>
          <t>dominance_pct</t>
        </is>
      </c>
      <c r="AN2" s="10" t="inlineStr">
        <is>
          <t>note_operator</t>
        </is>
      </c>
      <c r="AO2" s="10" t="inlineStr">
        <is>
          <t>mm_note</t>
        </is>
      </c>
    </row>
    <row r="3" ht="15" customHeight="1" s="24">
      <c r="A3" s="11" t="inlineStr">
        <is>
          <t>2026-05-26</t>
        </is>
      </c>
      <c r="B3" t="n">
        <v>0.12566459</v>
      </c>
      <c r="C3">
        <f>IFERROR(B3/B2-1,"")</f>
        <v/>
      </c>
      <c r="D3" t="n">
        <v>2600000</v>
      </c>
      <c r="E3" t="n">
        <v>49.34</v>
      </c>
      <c r="F3" t="n">
        <v>0.000109765</v>
      </c>
      <c r="G3" t="n">
        <v>5e-05</v>
      </c>
      <c r="H3" t="n">
        <v>0.00035662</v>
      </c>
      <c r="I3" t="n">
        <v>6</v>
      </c>
      <c r="L3" t="n">
        <v>3300000</v>
      </c>
      <c r="O3" t="n">
        <v>1.7128</v>
      </c>
      <c r="P3" t="n">
        <v>1.3299</v>
      </c>
      <c r="Q3" t="n">
        <v>1.3496</v>
      </c>
      <c r="R3" s="28">
        <f>IFERROR(O3/P3,"")</f>
        <v/>
      </c>
      <c r="S3">
        <f>IFERROR(AVERAGE(R1:R3),"")</f>
        <v/>
      </c>
      <c r="T3">
        <f>IFERROR(Q3/Q-2,"")</f>
        <v/>
      </c>
      <c r="U3">
        <f>IFERROR(O3/O0-1,"")</f>
        <v/>
      </c>
      <c r="V3">
        <f>IFERROR(P3/P0-1,"")</f>
        <v/>
      </c>
      <c r="Z3" s="21" t="n"/>
      <c r="AJ3" s="29">
        <f>IF(OR(AB3="",D3="",D3=0),"",AB3/D3)</f>
        <v/>
      </c>
      <c r="AN3" s="15" t="n"/>
    </row>
    <row r="4" ht="15" customHeight="1" s="24">
      <c r="A4" s="11" t="inlineStr">
        <is>
          <t>2026-05-27</t>
        </is>
      </c>
      <c r="B4" t="n">
        <v>0.13001367</v>
      </c>
      <c r="C4" s="30">
        <f>IFERROR(B4/B3-1,"")</f>
        <v/>
      </c>
      <c r="D4" t="n">
        <v>3000000</v>
      </c>
      <c r="E4" t="n">
        <v>49.06</v>
      </c>
      <c r="F4" t="n">
        <v>5e-05</v>
      </c>
      <c r="G4" t="n">
        <v>5e-05</v>
      </c>
      <c r="H4" t="n">
        <v>5e-05</v>
      </c>
      <c r="I4" t="n">
        <v>6</v>
      </c>
      <c r="L4" t="n">
        <v>3300000</v>
      </c>
      <c r="O4" t="n">
        <v>1.6906</v>
      </c>
      <c r="P4" t="n">
        <v>1.611</v>
      </c>
      <c r="Q4" t="n">
        <v>1.7012</v>
      </c>
      <c r="R4" s="28">
        <f>IFERROR(O4/P4,"")</f>
        <v/>
      </c>
      <c r="S4">
        <f>IFERROR(AVERAGE(R2:R4),"")</f>
        <v/>
      </c>
      <c r="T4">
        <f>IFERROR(Q4/Q-1,"")</f>
        <v/>
      </c>
      <c r="U4">
        <f>IFERROR(O4/O1-1,"")</f>
        <v/>
      </c>
      <c r="V4">
        <f>IFERROR(P4/P1-1,"")</f>
        <v/>
      </c>
      <c r="Z4" s="21" t="n"/>
      <c r="AJ4" s="29">
        <f>IF(OR(AB4="",D4="",D4=0),"",AB4/D4)</f>
        <v/>
      </c>
      <c r="AN4" s="15" t="n"/>
    </row>
    <row r="5" ht="15" customHeight="1" s="24">
      <c r="A5" s="11" t="inlineStr">
        <is>
          <t>2026-05-28</t>
        </is>
      </c>
      <c r="B5" t="n">
        <v>0.12513664</v>
      </c>
      <c r="C5" s="30">
        <f>IFERROR(B5/B4-1,"")</f>
        <v/>
      </c>
      <c r="D5" t="n">
        <v>4400000</v>
      </c>
      <c r="E5" t="n">
        <v>44.32</v>
      </c>
      <c r="F5" t="n">
        <v>5e-05</v>
      </c>
      <c r="G5" t="n">
        <v>5e-05</v>
      </c>
      <c r="H5" t="n">
        <v>5e-05</v>
      </c>
      <c r="I5" t="n">
        <v>6</v>
      </c>
      <c r="L5" t="n">
        <v>3400000</v>
      </c>
      <c r="O5" t="n">
        <v>1.63</v>
      </c>
      <c r="P5" t="n">
        <v>1.6745</v>
      </c>
      <c r="Q5" t="n">
        <v>1.8744</v>
      </c>
      <c r="R5" s="28">
        <f>IFERROR(O5/P5,"")</f>
        <v/>
      </c>
      <c r="S5" s="28">
        <f>IFERROR(AVERAGE(R3:R5),"")</f>
        <v/>
      </c>
      <c r="T5">
        <f>IFERROR(Q5/Q0,"")</f>
        <v/>
      </c>
      <c r="U5">
        <f>IFERROR(O5/O2-1,"")</f>
        <v/>
      </c>
      <c r="V5">
        <f>IFERROR(P5/P2-1,"")</f>
        <v/>
      </c>
      <c r="Z5" s="21" t="n"/>
      <c r="AJ5" s="29">
        <f>IF(OR(AB5="",D5="",D5=0),"",AB5/D5)</f>
        <v/>
      </c>
      <c r="AN5" s="15" t="n"/>
    </row>
    <row r="6" ht="15" customHeight="1" s="24">
      <c r="A6" s="11" t="inlineStr">
        <is>
          <t>2026-05-29</t>
        </is>
      </c>
      <c r="B6" s="31" t="n">
        <v>0.11524945</v>
      </c>
      <c r="C6" s="30">
        <f>IFERROR(B6/B5-1,"")</f>
        <v/>
      </c>
      <c r="D6" t="n">
        <v>1500000</v>
      </c>
      <c r="E6" t="n">
        <v>48.16</v>
      </c>
      <c r="F6" t="n">
        <v>5e-05</v>
      </c>
      <c r="G6" t="n">
        <v>5e-05</v>
      </c>
      <c r="H6" t="n">
        <v>5e-05</v>
      </c>
      <c r="I6" t="n">
        <v>6</v>
      </c>
      <c r="L6" t="n">
        <v>2900000</v>
      </c>
      <c r="O6" t="n">
        <v>1.5735</v>
      </c>
      <c r="P6" t="n">
        <v>1.8201</v>
      </c>
      <c r="Q6" t="n">
        <v>2.0979</v>
      </c>
      <c r="R6" s="28">
        <f>IFERROR(O6/P6,"")</f>
        <v/>
      </c>
      <c r="S6" s="28">
        <f>IFERROR(AVERAGE(R4:R6),"")</f>
        <v/>
      </c>
      <c r="T6">
        <f>IFERROR(Q6/Q1,"")</f>
        <v/>
      </c>
      <c r="U6" s="30">
        <f>IFERROR(O6/O3-1,"")</f>
        <v/>
      </c>
      <c r="V6" s="30">
        <f>IFERROR(P6/P3-1,"")</f>
        <v/>
      </c>
      <c r="AA6" s="15" t="n"/>
      <c r="AB6" s="16" t="n"/>
      <c r="AJ6" s="29">
        <f>IF(OR(AB6="",D6="",D6=0),"",AB6/D6)</f>
        <v/>
      </c>
      <c r="AN6" s="15" t="n"/>
    </row>
    <row r="7" ht="15" customHeight="1" s="24">
      <c r="A7" s="11" t="inlineStr">
        <is>
          <t>2026-05-30</t>
        </is>
      </c>
      <c r="B7" t="n">
        <v>0.11604237</v>
      </c>
      <c r="C7" s="30">
        <f>IFERROR(B7/B6-1,"")</f>
        <v/>
      </c>
      <c r="D7" t="n">
        <v>900000</v>
      </c>
      <c r="E7" t="n">
        <v>47.97</v>
      </c>
      <c r="F7" t="n">
        <v>0.00011623333</v>
      </c>
      <c r="G7" t="n">
        <v>5e-05</v>
      </c>
      <c r="H7" t="n">
        <v>0.00020199</v>
      </c>
      <c r="I7" t="n">
        <v>6</v>
      </c>
      <c r="L7" t="n">
        <v>2900000</v>
      </c>
      <c r="O7" t="n">
        <v>1.6059</v>
      </c>
      <c r="P7" t="n">
        <v>1.7617</v>
      </c>
      <c r="Q7" t="n">
        <v>2.1095</v>
      </c>
      <c r="R7" s="28">
        <f>IFERROR(O7/P7,"")</f>
        <v/>
      </c>
      <c r="S7" s="28">
        <f>IFERROR(AVERAGE(R5:R7),"")</f>
        <v/>
      </c>
      <c r="T7">
        <f>IFERROR(Q7/Q2,"")</f>
        <v/>
      </c>
      <c r="U7" s="30">
        <f>IFERROR(O7/O4-1,"")</f>
        <v/>
      </c>
      <c r="V7" s="30">
        <f>IFERROR(P7/P4-1,"")</f>
        <v/>
      </c>
      <c r="Z7" s="21" t="n"/>
      <c r="AJ7" s="29">
        <f>IF(OR(AB7="",D7="",D7=0),"",AB7/D7)</f>
        <v/>
      </c>
      <c r="AN7" s="15" t="n"/>
    </row>
    <row r="8" ht="15" customHeight="1" s="24">
      <c r="A8" s="11" t="inlineStr">
        <is>
          <t>2026-05-31</t>
        </is>
      </c>
      <c r="B8" s="31" t="n">
        <v>0.11389529</v>
      </c>
      <c r="C8" s="30">
        <f>IFERROR(B8/B7-1,"")</f>
        <v/>
      </c>
      <c r="D8" t="n">
        <v>940000</v>
      </c>
      <c r="E8" t="n">
        <v>52.22</v>
      </c>
      <c r="F8" s="18" t="n">
        <v>0.00018228333</v>
      </c>
      <c r="G8" t="n">
        <v>5e-05</v>
      </c>
      <c r="H8" t="n">
        <v>0.00039914</v>
      </c>
      <c r="I8" t="n">
        <v>6</v>
      </c>
      <c r="J8" s="15" t="n"/>
      <c r="L8" s="16" t="n">
        <v>2700000</v>
      </c>
      <c r="N8" s="15" t="n"/>
      <c r="O8" s="19" t="n">
        <v>1.6197</v>
      </c>
      <c r="P8" s="19" t="n">
        <v>2.0572</v>
      </c>
      <c r="Q8" s="19" t="n">
        <v>2.406</v>
      </c>
      <c r="R8" s="28">
        <f>IFERROR(O8/P8,"")</f>
        <v/>
      </c>
      <c r="S8" s="28">
        <f>IFERROR(AVERAGE(R6:R8),"")</f>
        <v/>
      </c>
      <c r="T8" s="28">
        <f>IFERROR(Q8/Q3,"")</f>
        <v/>
      </c>
      <c r="U8" s="30">
        <f>IFERROR(O8/O5-1,"")</f>
        <v/>
      </c>
      <c r="V8" s="30">
        <f>IFERROR(P8/P5-1,"")</f>
        <v/>
      </c>
      <c r="AA8" s="15" t="n"/>
      <c r="AD8" s="16" t="n"/>
      <c r="AE8" s="16" t="n"/>
      <c r="AJ8" s="29">
        <f>IF(OR(AB8="",D8="",D8=0),"",AB8/D8)</f>
        <v/>
      </c>
      <c r="AK8" s="15" t="n"/>
      <c r="AL8" s="15" t="n"/>
      <c r="AN8" s="15" t="n"/>
      <c r="AO8" s="15" t="n"/>
    </row>
    <row r="9">
      <c r="A9" t="inlineStr">
        <is>
          <t>2026-06-01</t>
        </is>
      </c>
      <c r="B9" t="n">
        <v>0.11571912</v>
      </c>
      <c r="C9">
        <f>IFERROR(B9/B8-1,"")</f>
        <v/>
      </c>
      <c r="D9" t="n">
        <v>1700000</v>
      </c>
      <c r="E9" t="n">
        <v>46.31</v>
      </c>
      <c r="F9" t="n">
        <v>0.00020909667</v>
      </c>
      <c r="G9" t="n">
        <v>5e-05</v>
      </c>
      <c r="H9" t="n">
        <v>0.00047247</v>
      </c>
      <c r="I9" t="n">
        <v>6</v>
      </c>
      <c r="L9" t="n">
        <v>2700000</v>
      </c>
      <c r="O9" t="n">
        <v>1.6035</v>
      </c>
      <c r="P9" t="n">
        <v>2.124</v>
      </c>
      <c r="Q9" t="n">
        <v>2.5436</v>
      </c>
      <c r="R9">
        <f>IFERROR(O9/P9,"")</f>
        <v/>
      </c>
      <c r="S9">
        <f>IFERROR(AVERAGE(R7:R9),"")</f>
        <v/>
      </c>
      <c r="T9">
        <f>IFERROR(Q9/Q4,"")</f>
        <v/>
      </c>
      <c r="U9">
        <f>IFERROR(O9/O6-1,"")</f>
        <v/>
      </c>
      <c r="V9">
        <f>IFERROR(P9/P6-1,"")</f>
        <v/>
      </c>
      <c r="AJ9">
        <f>IF(OR(AB9="",D9="",D9=0),"",AB9/D9)</f>
        <v/>
      </c>
    </row>
    <row r="10" ht="15" customHeight="1" s="24">
      <c r="A10" s="7" t="inlineStr">
        <is>
          <t>2026-06-02</t>
        </is>
      </c>
      <c r="B10" t="n">
        <v>0.11257489</v>
      </c>
      <c r="C10">
        <f>IFERROR(B10/B9-1,"")</f>
        <v/>
      </c>
      <c r="D10" t="n">
        <v>1600000</v>
      </c>
      <c r="E10" t="n">
        <v>45.76</v>
      </c>
      <c r="F10" t="n">
        <v>6.944e-05</v>
      </c>
      <c r="G10" t="n">
        <v>5e-05</v>
      </c>
      <c r="H10" t="n">
        <v>0.00012037</v>
      </c>
      <c r="I10" t="n">
        <v>6</v>
      </c>
      <c r="L10" t="n">
        <v>2800000</v>
      </c>
      <c r="O10" t="n">
        <v>1.6371</v>
      </c>
      <c r="P10" t="n">
        <v>2.1466</v>
      </c>
      <c r="Q10" t="n">
        <v>2.601</v>
      </c>
      <c r="R10">
        <f>IFERROR(O10/P10,"")</f>
        <v/>
      </c>
      <c r="S10">
        <f>IFERROR(AVERAGE(R8:R10),"")</f>
        <v/>
      </c>
      <c r="T10">
        <f>IFERROR(Q10/Q5,"")</f>
        <v/>
      </c>
      <c r="U10">
        <f>IFERROR(O10/O7-1,"")</f>
        <v/>
      </c>
      <c r="V10">
        <f>IFERROR(P10/P7-1,"")</f>
        <v/>
      </c>
      <c r="AJ10">
        <f>IF(OR(AB10="",D10="",D10=0),"",AB10/D10)</f>
        <v/>
      </c>
    </row>
    <row r="11">
      <c r="A11" t="inlineStr">
        <is>
          <t>2026-06-03</t>
        </is>
      </c>
      <c r="B11" t="n">
        <v>0.12403545</v>
      </c>
      <c r="C11">
        <f>IFERROR(B11/B10-1,"")</f>
        <v/>
      </c>
      <c r="D11" t="n">
        <v>5800000</v>
      </c>
      <c r="E11" t="n">
        <v>45.33</v>
      </c>
      <c r="F11" t="n">
        <v>0.00031061</v>
      </c>
      <c r="G11" t="n">
        <v>5e-05</v>
      </c>
      <c r="H11" t="n">
        <v>0.00061445</v>
      </c>
      <c r="I11" t="n">
        <v>6</v>
      </c>
      <c r="L11" t="n">
        <v>2600000</v>
      </c>
      <c r="O11" t="n">
        <v>1.614</v>
      </c>
      <c r="P11" t="n">
        <v>2.2723</v>
      </c>
      <c r="Q11" t="n">
        <v>2.7023</v>
      </c>
      <c r="R11">
        <f>IFERROR(O11/P11,"")</f>
        <v/>
      </c>
      <c r="S11">
        <f>IFERROR(AVERAGE(R9:R11),"")</f>
        <v/>
      </c>
      <c r="T11">
        <f>IFERROR(Q11/Q6,"")</f>
        <v/>
      </c>
      <c r="U11">
        <f>IFERROR(O11/O8-1,"")</f>
        <v/>
      </c>
      <c r="V11">
        <f>IFERROR(P11/P8-1,"")</f>
        <v/>
      </c>
      <c r="AJ11">
        <f>IF(OR(AB11="",D11="",D11=0),"",AB11/D11)</f>
        <v/>
      </c>
    </row>
    <row r="12">
      <c r="A12" t="inlineStr">
        <is>
          <t>2026-06-04</t>
        </is>
      </c>
      <c r="B12" t="n">
        <v>0.11244069</v>
      </c>
      <c r="C12">
        <f>IFERROR(B12/B11-1,"")</f>
        <v/>
      </c>
      <c r="D12" t="n">
        <v>3800000</v>
      </c>
      <c r="E12" t="n">
        <v>50.31</v>
      </c>
      <c r="F12" t="n">
        <v>5e-05</v>
      </c>
      <c r="G12" t="n">
        <v>5e-05</v>
      </c>
      <c r="H12" t="n">
        <v>5e-05</v>
      </c>
      <c r="I12" t="n">
        <v>6</v>
      </c>
      <c r="L12" t="n">
        <v>2900000</v>
      </c>
      <c r="O12" t="n">
        <v>1.6712</v>
      </c>
      <c r="P12" t="n">
        <v>1.9455</v>
      </c>
      <c r="Q12" t="n">
        <v>2.1878</v>
      </c>
      <c r="R12">
        <f>IFERROR(O12/P12,"")</f>
        <v/>
      </c>
      <c r="S12">
        <f>IFERROR(AVERAGE(R10:R12),"")</f>
        <v/>
      </c>
      <c r="T12">
        <f>IFERROR(Q12/Q7,"")</f>
        <v/>
      </c>
      <c r="U12">
        <f>IFERROR(O12/O9-1,"")</f>
        <v/>
      </c>
      <c r="V12">
        <f>IFERROR(P12/P9-1,"")</f>
        <v/>
      </c>
      <c r="AJ12">
        <f>IF(OR(AB12="",D12="",D12=0),"",AB12/D12)</f>
        <v/>
      </c>
    </row>
    <row r="13">
      <c r="A13" t="inlineStr">
        <is>
          <t>2026-06-05</t>
        </is>
      </c>
      <c r="B13" t="n">
        <v>0.10303395</v>
      </c>
      <c r="C13">
        <f>IFERROR(B13/B12-1,"")</f>
        <v/>
      </c>
      <c r="D13" t="n">
        <v>2400000</v>
      </c>
      <c r="E13" t="n">
        <v>49.77</v>
      </c>
      <c r="F13" t="n">
        <v>5e-05</v>
      </c>
      <c r="G13" t="n">
        <v>5e-05</v>
      </c>
      <c r="H13" t="n">
        <v>5e-05</v>
      </c>
      <c r="I13" t="n">
        <v>6</v>
      </c>
      <c r="L13" t="n">
        <v>2500000</v>
      </c>
      <c r="O13" t="n">
        <v>1.6662</v>
      </c>
      <c r="P13" t="n">
        <v>1.9163</v>
      </c>
      <c r="Q13" t="n">
        <v>2.3344</v>
      </c>
      <c r="R13">
        <f>IFERROR(O13/P13,"")</f>
        <v/>
      </c>
      <c r="S13">
        <f>IFERROR(AVERAGE(R11:R13),"")</f>
        <v/>
      </c>
      <c r="T13">
        <f>IFERROR(Q13/Q8,"")</f>
        <v/>
      </c>
      <c r="U13">
        <f>IFERROR(O13/O10-1,"")</f>
        <v/>
      </c>
      <c r="V13">
        <f>IFERROR(P13/P10-1,"")</f>
        <v/>
      </c>
      <c r="AJ13">
        <f>IF(OR(AB13="",D13="",D13=0),"",AB13/D13)</f>
        <v/>
      </c>
    </row>
    <row r="14">
      <c r="A14" t="inlineStr">
        <is>
          <t>2026-06-06</t>
        </is>
      </c>
      <c r="B14" t="n">
        <v>0.098894607</v>
      </c>
      <c r="C14">
        <f>IFERROR(B14/B13-1,"")</f>
        <v/>
      </c>
      <c r="D14" t="n">
        <v>1400000</v>
      </c>
      <c r="E14" t="n">
        <v>47.35</v>
      </c>
      <c r="F14" t="n">
        <v>5e-05</v>
      </c>
      <c r="G14" t="n">
        <v>5e-05</v>
      </c>
      <c r="H14" t="n">
        <v>5e-05</v>
      </c>
      <c r="I14" t="n">
        <v>6</v>
      </c>
      <c r="L14" t="n">
        <v>2300000</v>
      </c>
      <c r="O14" t="n">
        <v>1.6365</v>
      </c>
      <c r="P14" t="n">
        <v>1.845</v>
      </c>
      <c r="Q14" t="n">
        <v>2.2082</v>
      </c>
      <c r="R14">
        <f>IFERROR(O14/P14,"")</f>
        <v/>
      </c>
      <c r="S14">
        <f>IFERROR(AVERAGE(R12:R14),"")</f>
        <v/>
      </c>
      <c r="T14">
        <f>IFERROR(Q14/Q9,"")</f>
        <v/>
      </c>
      <c r="U14">
        <f>IFERROR(O14/O11-1,"")</f>
        <v/>
      </c>
      <c r="V14">
        <f>IFERROR(P14/P11-1,"")</f>
        <v/>
      </c>
      <c r="AJ14">
        <f>IF(OR(AB14="",D14="",D14=0),"",AB14/D14)</f>
        <v/>
      </c>
    </row>
    <row r="15">
      <c r="A15" t="inlineStr">
        <is>
          <t>2026-06-07</t>
        </is>
      </c>
      <c r="B15" t="n">
        <v>0.11123894</v>
      </c>
      <c r="C15">
        <f>IFERROR(B15/B14-1,"")</f>
        <v/>
      </c>
      <c r="D15" t="n">
        <v>3100000</v>
      </c>
      <c r="E15" t="n">
        <v>46.91</v>
      </c>
      <c r="F15" t="n">
        <v>7.9311667e-05</v>
      </c>
      <c r="G15" t="n">
        <v>5e-05</v>
      </c>
      <c r="H15" t="n">
        <v>0.00015383</v>
      </c>
      <c r="I15" t="n">
        <v>6</v>
      </c>
      <c r="L15" t="n">
        <v>2300000</v>
      </c>
      <c r="O15" t="n">
        <v>1.6773</v>
      </c>
      <c r="P15" t="n">
        <v>1.7345</v>
      </c>
      <c r="Q15" t="n">
        <v>2.0807</v>
      </c>
      <c r="R15">
        <f>IFERROR(O15/P15,"")</f>
        <v/>
      </c>
      <c r="S15">
        <f>IFERROR(AVERAGE(R13:R15),"")</f>
        <v/>
      </c>
      <c r="T15">
        <f>IFERROR(Q15/Q10,"")</f>
        <v/>
      </c>
      <c r="U15">
        <f>IFERROR(O15/O12-1,"")</f>
        <v/>
      </c>
      <c r="V15">
        <f>IFERROR(P15/P12-1,"")</f>
        <v/>
      </c>
      <c r="AJ15">
        <f>IF(OR(AB15="",D15="",D15=0),"",AB15/D15)</f>
        <v/>
      </c>
    </row>
    <row r="16">
      <c r="A16" t="inlineStr">
        <is>
          <t>2026-06-08</t>
        </is>
      </c>
      <c r="B16" t="n">
        <v>0.11114916</v>
      </c>
      <c r="C16">
        <f>IFERROR(B16/B15-1,"")</f>
        <v/>
      </c>
      <c r="D16" t="n">
        <v>1300000</v>
      </c>
      <c r="E16" t="n">
        <v>46.94</v>
      </c>
      <c r="F16" t="n">
        <v>8.053333299999999e-05</v>
      </c>
      <c r="G16" t="n">
        <v>5e-05</v>
      </c>
      <c r="H16" t="n">
        <v>0.0001891</v>
      </c>
      <c r="I16" t="n">
        <v>6</v>
      </c>
      <c r="L16" t="n">
        <v>2600000</v>
      </c>
      <c r="O16" t="n">
        <v>1.6988</v>
      </c>
      <c r="P16" t="n">
        <v>1.9248</v>
      </c>
      <c r="Q16" t="n">
        <v>2.3014</v>
      </c>
      <c r="R16">
        <f>IFERROR(O16/P16,"")</f>
        <v/>
      </c>
      <c r="S16">
        <f>IFERROR(AVERAGE(R14:R16),"")</f>
        <v/>
      </c>
      <c r="T16">
        <f>IFERROR(Q16/Q11,"")</f>
        <v/>
      </c>
      <c r="U16">
        <f>IFERROR(O16/O13-1,"")</f>
        <v/>
      </c>
      <c r="V16">
        <f>IFERROR(P16/P13-1,"")</f>
        <v/>
      </c>
      <c r="AJ16">
        <f>IF(OR(AB16="",D16="",D16=0),"",AB16/D16)</f>
        <v/>
      </c>
    </row>
    <row r="17">
      <c r="A17" t="inlineStr">
        <is>
          <t>2026-06-09</t>
        </is>
      </c>
      <c r="B17" t="n">
        <v>0.11375661</v>
      </c>
      <c r="C17">
        <f>IFERROR(B17/B16-1,"")</f>
        <v/>
      </c>
      <c r="D17" t="n">
        <v>1400000</v>
      </c>
      <c r="E17" t="n">
        <v>45.6</v>
      </c>
      <c r="F17" t="n">
        <v>0.00013595333</v>
      </c>
      <c r="G17" t="n">
        <v>5e-05</v>
      </c>
      <c r="H17" t="n">
        <v>0.00027849</v>
      </c>
      <c r="I17" t="n">
        <v>6</v>
      </c>
      <c r="L17" t="n">
        <v>2500000</v>
      </c>
      <c r="O17" t="n">
        <v>1.7343</v>
      </c>
      <c r="P17" t="n">
        <v>2.1676</v>
      </c>
      <c r="Q17" t="n">
        <v>2.5112</v>
      </c>
      <c r="R17">
        <f>IFERROR(O17/P17,"")</f>
        <v/>
      </c>
      <c r="S17">
        <f>IFERROR(AVERAGE(R15:R17),"")</f>
        <v/>
      </c>
      <c r="T17">
        <f>IFERROR(Q17/Q12,"")</f>
        <v/>
      </c>
      <c r="U17">
        <f>IFERROR(O17/O14-1,"")</f>
        <v/>
      </c>
      <c r="V17">
        <f>IFERROR(P17/P14-1,"")</f>
        <v/>
      </c>
      <c r="AJ17">
        <f>IF(OR(AB17="",D17="",D17=0),"",AB17/D17)</f>
        <v/>
      </c>
    </row>
    <row r="18">
      <c r="A18" t="inlineStr">
        <is>
          <t>2026-06-10</t>
        </is>
      </c>
      <c r="B18" t="n">
        <v>0.11692792</v>
      </c>
      <c r="C18">
        <f>IFERROR(B18/B17-1,"")</f>
        <v/>
      </c>
      <c r="D18" t="n">
        <v>2800000</v>
      </c>
      <c r="E18" t="n">
        <v>49.18</v>
      </c>
      <c r="F18" t="n">
        <v>0.000173085</v>
      </c>
      <c r="G18" t="n">
        <v>5e-05</v>
      </c>
      <c r="H18" t="n">
        <v>0.00045416</v>
      </c>
      <c r="I18" t="n">
        <v>6</v>
      </c>
      <c r="L18" t="n">
        <v>2500000</v>
      </c>
      <c r="O18" t="n">
        <v>1.6806</v>
      </c>
      <c r="P18" t="n">
        <v>2.0845</v>
      </c>
      <c r="Q18" t="n">
        <v>2.453</v>
      </c>
      <c r="R18">
        <f>IFERROR(O18/P18,"")</f>
        <v/>
      </c>
      <c r="S18">
        <f>IFERROR(AVERAGE(R16:R18),"")</f>
        <v/>
      </c>
      <c r="T18">
        <f>IFERROR(Q18/Q13,"")</f>
        <v/>
      </c>
      <c r="U18">
        <f>IFERROR(O18/O15-1,"")</f>
        <v/>
      </c>
      <c r="V18">
        <f>IFERROR(P18/P15-1,"")</f>
        <v/>
      </c>
      <c r="AJ18">
        <f>IF(OR(AB18="",D18="",D18=0),"",AB18/D18)</f>
        <v/>
      </c>
    </row>
    <row r="19">
      <c r="A19" t="inlineStr">
        <is>
          <t>2026-06-11</t>
        </is>
      </c>
      <c r="B19" t="n">
        <v>0.13587616</v>
      </c>
      <c r="C19">
        <f>IFERROR(B19/B18-1,"")</f>
        <v/>
      </c>
      <c r="D19" t="n">
        <v>8800000</v>
      </c>
      <c r="E19" t="n">
        <v>46.39</v>
      </c>
      <c r="F19" t="n">
        <v>5.274e-05</v>
      </c>
      <c r="G19" t="n">
        <v>5e-05</v>
      </c>
      <c r="H19" t="n">
        <v>6.643999999999999e-05</v>
      </c>
      <c r="I19" t="n">
        <v>6</v>
      </c>
      <c r="L19" t="n">
        <v>2800000</v>
      </c>
      <c r="O19" t="n">
        <v>1.5429</v>
      </c>
      <c r="P19" t="n">
        <v>2.0166</v>
      </c>
      <c r="Q19" t="n">
        <v>2.3591</v>
      </c>
      <c r="R19">
        <f>IFERROR(O19/P19,"")</f>
        <v/>
      </c>
      <c r="S19">
        <f>IFERROR(AVERAGE(R17:R19),"")</f>
        <v/>
      </c>
      <c r="T19">
        <f>IFERROR(Q19/Q14,"")</f>
        <v/>
      </c>
      <c r="U19">
        <f>IFERROR(O19/O16-1,"")</f>
        <v/>
      </c>
      <c r="V19">
        <f>IFERROR(P19/P16-1,"")</f>
        <v/>
      </c>
      <c r="AJ19">
        <f>IF(OR(AB19="",D19="",D19=0),"",AB19/D19)</f>
        <v/>
      </c>
    </row>
    <row r="20">
      <c r="A20" t="inlineStr">
        <is>
          <t>2026-06-12</t>
        </is>
      </c>
      <c r="B20" t="n">
        <v>0.14088042</v>
      </c>
      <c r="C20">
        <f>IFERROR(B20/B19-1,"")</f>
        <v/>
      </c>
      <c r="D20" t="n">
        <v>3200000</v>
      </c>
      <c r="E20" t="n">
        <v>45.94</v>
      </c>
      <c r="F20" t="n">
        <v>5.4401667e-05</v>
      </c>
      <c r="G20" t="n">
        <v>5e-05</v>
      </c>
      <c r="H20" t="n">
        <v>7.641e-05</v>
      </c>
      <c r="I20" t="n">
        <v>6</v>
      </c>
      <c r="L20" t="n">
        <v>3700000</v>
      </c>
      <c r="O20" t="n">
        <v>1.4845</v>
      </c>
      <c r="P20" t="n">
        <v>1.694</v>
      </c>
      <c r="Q20" t="n">
        <v>1.9121</v>
      </c>
      <c r="R20">
        <f>IFERROR(O20/P20,"")</f>
        <v/>
      </c>
      <c r="S20">
        <f>IFERROR(AVERAGE(R18:R20),"")</f>
        <v/>
      </c>
      <c r="T20">
        <f>IFERROR(Q20/Q15,"")</f>
        <v/>
      </c>
      <c r="U20">
        <f>IFERROR(O20/O17-1,"")</f>
        <v/>
      </c>
      <c r="V20">
        <f>IFERROR(P20/P17-1,"")</f>
        <v/>
      </c>
      <c r="AJ20">
        <f>IF(OR(AB20="",D20="",D20=0),"",AB20/D20)</f>
        <v/>
      </c>
    </row>
    <row r="21">
      <c r="A21" t="inlineStr">
        <is>
          <t>2026-06-13</t>
        </is>
      </c>
      <c r="B21" t="n">
        <v>0.12804745</v>
      </c>
      <c r="C21">
        <f>IFERROR(B21/B20-1,"")</f>
        <v/>
      </c>
      <c r="D21" t="n">
        <v>1900000</v>
      </c>
      <c r="E21" t="n">
        <v>46.5</v>
      </c>
      <c r="F21" t="n">
        <v>5e-05</v>
      </c>
      <c r="G21" t="n">
        <v>5e-05</v>
      </c>
      <c r="H21" t="n">
        <v>5e-05</v>
      </c>
      <c r="I21" t="n">
        <v>6</v>
      </c>
      <c r="L21" t="n">
        <v>3300000</v>
      </c>
      <c r="O21" t="n">
        <v>1.5512</v>
      </c>
      <c r="P21" t="n">
        <v>1.588</v>
      </c>
      <c r="Q21" t="n">
        <v>1.7949</v>
      </c>
      <c r="R21">
        <f>IFERROR(O21/P21,"")</f>
        <v/>
      </c>
      <c r="S21">
        <f>IFERROR(AVERAGE(R19:R21),"")</f>
        <v/>
      </c>
      <c r="T21">
        <f>IFERROR(Q21/Q16,"")</f>
        <v/>
      </c>
      <c r="U21">
        <f>IFERROR(O21/O18-1,"")</f>
        <v/>
      </c>
      <c r="V21">
        <f>IFERROR(P21/P18-1,"")</f>
        <v/>
      </c>
      <c r="AJ21">
        <f>IF(OR(AB21="",D21="",D21=0),"",AB21/D21)</f>
        <v/>
      </c>
    </row>
    <row r="22">
      <c r="A22" t="inlineStr">
        <is>
          <t>2026-06-14</t>
        </is>
      </c>
      <c r="B22" t="n">
        <v>0.11838668</v>
      </c>
      <c r="C22">
        <f>IFERROR(B22/B21-1,"")</f>
        <v/>
      </c>
      <c r="D22" t="n">
        <v>890000</v>
      </c>
      <c r="E22" t="n">
        <v>47.63</v>
      </c>
      <c r="F22" t="n">
        <v>5e-05</v>
      </c>
      <c r="G22" t="n">
        <v>5e-05</v>
      </c>
      <c r="H22" t="n">
        <v>5e-05</v>
      </c>
      <c r="I22" t="n">
        <v>6</v>
      </c>
      <c r="L22" t="n">
        <v>2800000</v>
      </c>
      <c r="O22" t="n">
        <v>1.492</v>
      </c>
      <c r="P22" t="n">
        <v>1.8785</v>
      </c>
      <c r="Q22" t="n">
        <v>2.1776</v>
      </c>
      <c r="R22">
        <f>IFERROR(O22/P22,"")</f>
        <v/>
      </c>
      <c r="S22">
        <f>IFERROR(AVERAGE(R20:R22),"")</f>
        <v/>
      </c>
      <c r="T22">
        <f>IFERROR(Q22/Q17,"")</f>
        <v/>
      </c>
      <c r="U22">
        <f>IFERROR(O22/O19-1,"")</f>
        <v/>
      </c>
      <c r="V22">
        <f>IFERROR(P22/P19-1,"")</f>
        <v/>
      </c>
      <c r="AJ22">
        <f>IF(OR(AB22="",D22="",D22=0),"",AB22/D22)</f>
        <v/>
      </c>
    </row>
    <row r="23">
      <c r="A23" t="inlineStr">
        <is>
          <t>2026-06-15</t>
        </is>
      </c>
      <c r="B23" t="n">
        <v>0.11489641</v>
      </c>
      <c r="C23">
        <f>IFERROR(B23/B22-1,"")</f>
        <v/>
      </c>
      <c r="D23" t="n">
        <v>990000</v>
      </c>
      <c r="E23" t="n">
        <v>49.19</v>
      </c>
      <c r="F23" t="n">
        <v>8.4536667e-05</v>
      </c>
      <c r="G23" t="n">
        <v>5e-05</v>
      </c>
      <c r="H23" t="n">
        <v>0.00014707</v>
      </c>
      <c r="I23" t="n">
        <v>6</v>
      </c>
      <c r="L23" t="n">
        <v>2700000</v>
      </c>
      <c r="O23" t="n">
        <v>1.4802</v>
      </c>
      <c r="P23" t="n">
        <v>1.9291</v>
      </c>
      <c r="Q23" t="n">
        <v>2.3003</v>
      </c>
      <c r="R23">
        <f>IFERROR(O23/P23,"")</f>
        <v/>
      </c>
      <c r="S23">
        <f>IFERROR(AVERAGE(R21:R23),"")</f>
        <v/>
      </c>
      <c r="T23">
        <f>IFERROR(Q23/Q18,"")</f>
        <v/>
      </c>
      <c r="U23">
        <f>IFERROR(O23/O20-1,"")</f>
        <v/>
      </c>
      <c r="V23">
        <f>IFERROR(P23/P20-1,"")</f>
        <v/>
      </c>
      <c r="AJ23">
        <f>IF(OR(AB23="",D23="",D23=0),"",AB23/D23)</f>
        <v/>
      </c>
    </row>
    <row r="24">
      <c r="A24" t="inlineStr">
        <is>
          <t>2026-06-16</t>
        </is>
      </c>
      <c r="B24" t="n">
        <v>0.17617646</v>
      </c>
      <c r="C24">
        <f>IFERROR(B24/B23-1,"")</f>
        <v/>
      </c>
      <c r="D24" t="n">
        <v>130000000</v>
      </c>
      <c r="E24" t="n">
        <v>51.56</v>
      </c>
      <c r="F24" t="n">
        <v>0.00026853</v>
      </c>
      <c r="G24" t="n">
        <v>5e-05</v>
      </c>
      <c r="H24" t="n">
        <v>0.00075831</v>
      </c>
      <c r="I24" t="n">
        <v>6</v>
      </c>
      <c r="L24" t="n">
        <v>2600000</v>
      </c>
      <c r="O24" t="n">
        <v>1.4778</v>
      </c>
      <c r="P24" t="n">
        <v>2.0637</v>
      </c>
      <c r="Q24" t="n">
        <v>2.4165</v>
      </c>
      <c r="R24">
        <f>IFERROR(O24/P24,"")</f>
        <v/>
      </c>
      <c r="S24">
        <f>IFERROR(AVERAGE(R22:R24),"")</f>
        <v/>
      </c>
      <c r="T24">
        <f>IFERROR(Q24/Q19,"")</f>
        <v/>
      </c>
      <c r="U24">
        <f>IFERROR(O24/O21-1,"")</f>
        <v/>
      </c>
      <c r="V24">
        <f>IFERROR(P24/P21-1,"")</f>
        <v/>
      </c>
      <c r="AJ24">
        <f>IF(OR(AB24="",D24="",D24=0),"",AB24/D24)</f>
        <v/>
      </c>
    </row>
    <row r="25">
      <c r="A25" t="inlineStr">
        <is>
          <t>2026-06-17</t>
        </is>
      </c>
      <c r="B25" t="n">
        <v>0.19216774</v>
      </c>
      <c r="C25">
        <f>IFERROR(B25/B24-1,"")</f>
        <v/>
      </c>
      <c r="D25" t="n">
        <v>160000000</v>
      </c>
      <c r="E25" t="n">
        <v>52.08</v>
      </c>
      <c r="F25" t="n">
        <v>0.00018252</v>
      </c>
      <c r="G25" t="n">
        <v>8.588e-05</v>
      </c>
      <c r="H25" t="n">
        <v>0.00037841</v>
      </c>
      <c r="I25" t="n">
        <v>6</v>
      </c>
      <c r="L25" t="n">
        <v>9900000</v>
      </c>
      <c r="O25" t="n">
        <v>1.281</v>
      </c>
      <c r="P25" t="n">
        <v>0.471</v>
      </c>
      <c r="Q25" t="n">
        <v>0.5272</v>
      </c>
      <c r="R25">
        <f>IFERROR(O25/P25,"")</f>
        <v/>
      </c>
      <c r="S25">
        <f>IFERROR(AVERAGE(R23:R25),"")</f>
        <v/>
      </c>
      <c r="T25">
        <f>IFERROR(Q25/Q20,"")</f>
        <v/>
      </c>
      <c r="U25">
        <f>IFERROR(O25/O22-1,"")</f>
        <v/>
      </c>
      <c r="V25">
        <f>IFERROR(P25/P22-1,"")</f>
        <v/>
      </c>
      <c r="AJ25">
        <f>IF(OR(AB25="",D25="",D25=0),"",AB25/D25)</f>
        <v/>
      </c>
    </row>
    <row r="26">
      <c r="A26" t="inlineStr">
        <is>
          <t>2026-06-18</t>
        </is>
      </c>
      <c r="B26" t="n">
        <v>0.16330298</v>
      </c>
      <c r="C26">
        <f>IFERROR(B26/B25-1,"")</f>
        <v/>
      </c>
      <c r="D26" t="n">
        <v>32000000</v>
      </c>
      <c r="E26" t="n">
        <v>51.15</v>
      </c>
      <c r="F26" t="n">
        <v>0.00019495167</v>
      </c>
      <c r="G26" t="n">
        <v>5e-05</v>
      </c>
      <c r="H26" t="n">
        <v>0.00058143</v>
      </c>
      <c r="I26" t="n">
        <v>6</v>
      </c>
      <c r="L26" t="n">
        <v>8600000</v>
      </c>
      <c r="O26" t="n">
        <v>1.1817</v>
      </c>
      <c r="P26" t="n">
        <v>0.4678</v>
      </c>
      <c r="Q26" t="n">
        <v>0.5101</v>
      </c>
      <c r="R26">
        <f>IFERROR(O26/P26,"")</f>
        <v/>
      </c>
      <c r="S26">
        <f>IFERROR(AVERAGE(R24:R26),"")</f>
        <v/>
      </c>
      <c r="T26">
        <f>IFERROR(Q26/Q21,"")</f>
        <v/>
      </c>
      <c r="U26">
        <f>IFERROR(O26/O23-1,"")</f>
        <v/>
      </c>
      <c r="V26">
        <f>IFERROR(P26/P23-1,"")</f>
        <v/>
      </c>
      <c r="AJ26">
        <f>IF(OR(AB26="",D26="",D26=0),"",AB26/D26)</f>
        <v/>
      </c>
    </row>
    <row r="27">
      <c r="A27" t="inlineStr">
        <is>
          <t>2026-06-19</t>
        </is>
      </c>
      <c r="B27" t="n">
        <v>0.14343497</v>
      </c>
      <c r="C27">
        <f>IFERROR(B27/B26-1,"")</f>
        <v/>
      </c>
      <c r="D27" t="n">
        <v>9100000</v>
      </c>
      <c r="E27" t="n">
        <v>52.19</v>
      </c>
      <c r="F27" t="n">
        <v>8.0766667e-05</v>
      </c>
      <c r="G27" t="n">
        <v>5e-05</v>
      </c>
      <c r="H27" t="n">
        <v>0.00014258</v>
      </c>
      <c r="I27" t="n">
        <v>6</v>
      </c>
      <c r="L27" t="n">
        <v>4900000</v>
      </c>
      <c r="O27" t="n">
        <v>1.4838</v>
      </c>
      <c r="P27" t="n">
        <v>0.8179</v>
      </c>
      <c r="Q27" t="n">
        <v>0.8443000000000001</v>
      </c>
      <c r="R27">
        <f>IFERROR(O27/P27,"")</f>
        <v/>
      </c>
      <c r="S27">
        <f>IFERROR(AVERAGE(R25:R27),"")</f>
        <v/>
      </c>
      <c r="T27">
        <f>IFERROR(Q27/Q22,"")</f>
        <v/>
      </c>
      <c r="U27">
        <f>IFERROR(O27/O24-1,"")</f>
        <v/>
      </c>
      <c r="V27">
        <f>IFERROR(P27/P24-1,"")</f>
        <v/>
      </c>
      <c r="AJ27">
        <f>IF(OR(AB27="",D27="",D27=0),"",AB27/D27)</f>
        <v/>
      </c>
    </row>
    <row r="28">
      <c r="A28" t="inlineStr">
        <is>
          <t>2026-06-20</t>
        </is>
      </c>
      <c r="B28" t="n">
        <v>0.14014733</v>
      </c>
      <c r="C28">
        <f>IFERROR(B28/B27-1,"")</f>
        <v/>
      </c>
      <c r="D28" t="n">
        <v>2900000</v>
      </c>
      <c r="E28" t="n">
        <v>53.9</v>
      </c>
      <c r="F28" t="n">
        <v>5e-05</v>
      </c>
      <c r="G28" t="n">
        <v>5e-05</v>
      </c>
      <c r="H28" t="n">
        <v>5e-05</v>
      </c>
      <c r="I28" t="n">
        <v>6</v>
      </c>
      <c r="L28" t="n">
        <v>4300000</v>
      </c>
      <c r="O28" t="n">
        <v>1.5312</v>
      </c>
      <c r="P28" t="n">
        <v>0.8783</v>
      </c>
      <c r="Q28" t="n">
        <v>0.9346</v>
      </c>
      <c r="R28">
        <f>IFERROR(O28/P28,"")</f>
        <v/>
      </c>
      <c r="S28">
        <f>IFERROR(AVERAGE(R26:R28),"")</f>
        <v/>
      </c>
      <c r="T28">
        <f>IFERROR(Q28/Q23,"")</f>
        <v/>
      </c>
      <c r="U28">
        <f>IFERROR(O28/O25-1,"")</f>
        <v/>
      </c>
      <c r="V28">
        <f>IFERROR(P28/P25-1,"")</f>
        <v/>
      </c>
      <c r="AJ28">
        <f>IF(OR(AB28="",D28="",D28=0),"",AB28/D28)</f>
        <v/>
      </c>
    </row>
    <row r="29">
      <c r="A29" t="inlineStr">
        <is>
          <t>2026-06-21</t>
        </is>
      </c>
      <c r="B29" t="n">
        <v>0.14558627</v>
      </c>
      <c r="C29">
        <f>IFERROR(B29/B28-1,"")</f>
        <v/>
      </c>
      <c r="D29" t="n">
        <v>3900000</v>
      </c>
      <c r="E29" t="n">
        <v>50.97</v>
      </c>
      <c r="F29" t="n">
        <v>8.828666700000001e-05</v>
      </c>
      <c r="G29" t="n">
        <v>5e-05</v>
      </c>
      <c r="H29" t="n">
        <v>0.00026908</v>
      </c>
      <c r="I29" t="n">
        <v>6</v>
      </c>
      <c r="L29" t="n">
        <v>4000000</v>
      </c>
      <c r="O29" t="n">
        <v>1.5994</v>
      </c>
      <c r="P29" t="n">
        <v>0.9841</v>
      </c>
      <c r="Q29" t="n">
        <v>1.0379</v>
      </c>
      <c r="R29">
        <f>IFERROR(O29/P29,"")</f>
        <v/>
      </c>
      <c r="S29">
        <f>IFERROR(AVERAGE(R27:R29),"")</f>
        <v/>
      </c>
      <c r="T29">
        <f>IFERROR(Q29/Q24,"")</f>
        <v/>
      </c>
      <c r="U29">
        <f>IFERROR(O29/O26-1,"")</f>
        <v/>
      </c>
      <c r="V29">
        <f>IFERROR(P29/P26-1,"")</f>
        <v/>
      </c>
      <c r="AJ29">
        <f>IF(OR(AB29="",D29="",D29=0),"",AB29/D29)</f>
        <v/>
      </c>
    </row>
    <row r="30">
      <c r="A30" t="inlineStr">
        <is>
          <t>2026-06-22</t>
        </is>
      </c>
      <c r="B30" t="n">
        <v>0.14072484</v>
      </c>
      <c r="C30">
        <f>IFERROR(B30/B29-1,"")</f>
        <v/>
      </c>
      <c r="D30" t="n">
        <v>3100000</v>
      </c>
      <c r="E30" t="n">
        <v>48.63</v>
      </c>
      <c r="F30" t="n">
        <v>8.498666699999999e-05</v>
      </c>
      <c r="G30" t="n">
        <v>5e-05</v>
      </c>
      <c r="H30" t="n">
        <v>0.0001894</v>
      </c>
      <c r="I30" t="n">
        <v>6</v>
      </c>
      <c r="L30" t="n">
        <v>4200000</v>
      </c>
      <c r="O30" t="n">
        <v>1.5726</v>
      </c>
      <c r="P30" t="n">
        <v>1.1349</v>
      </c>
      <c r="Q30" t="n">
        <v>1.2665</v>
      </c>
      <c r="R30">
        <f>IFERROR(O30/P30,"")</f>
        <v/>
      </c>
      <c r="S30">
        <f>IFERROR(AVERAGE(R28:R30),"")</f>
        <v/>
      </c>
      <c r="T30">
        <f>IFERROR(Q30/Q25,"")</f>
        <v/>
      </c>
      <c r="U30">
        <f>IFERROR(O30/O27-1,"")</f>
        <v/>
      </c>
      <c r="V30">
        <f>IFERROR(P30/P27-1,"")</f>
        <v/>
      </c>
      <c r="AJ30">
        <f>IF(OR(AB30="",D30="",D30=0),"",AB30/D30)</f>
        <v/>
      </c>
    </row>
    <row r="31">
      <c r="A31" t="inlineStr">
        <is>
          <t>2026-06-23</t>
        </is>
      </c>
      <c r="B31" t="n">
        <v>0.16546697</v>
      </c>
      <c r="C31">
        <f>IFERROR(B31/B30-1,"")</f>
        <v/>
      </c>
      <c r="D31" t="n">
        <v>24000000</v>
      </c>
      <c r="E31" t="n">
        <v>49.65</v>
      </c>
      <c r="F31" t="n">
        <v>0.00020984333</v>
      </c>
      <c r="G31" t="n">
        <v>5e-05</v>
      </c>
      <c r="H31" t="n">
        <v>0.00032523</v>
      </c>
      <c r="I31" t="n">
        <v>6</v>
      </c>
      <c r="L31" t="n">
        <v>4000000</v>
      </c>
      <c r="O31" t="n">
        <v>1.646</v>
      </c>
      <c r="P31" t="n">
        <v>1.1053</v>
      </c>
      <c r="Q31" t="n">
        <v>1.2795</v>
      </c>
      <c r="R31">
        <f>IFERROR(O31/P31,"")</f>
        <v/>
      </c>
      <c r="S31">
        <f>IFERROR(AVERAGE(R29:R31),"")</f>
        <v/>
      </c>
      <c r="T31">
        <f>IFERROR(Q31/Q26,"")</f>
        <v/>
      </c>
      <c r="U31">
        <f>IFERROR(O31/O28-1,"")</f>
        <v/>
      </c>
      <c r="V31">
        <f>IFERROR(P31/P28-1,"")</f>
        <v/>
      </c>
      <c r="AJ31">
        <f>IF(OR(AB31="",D31="",D31=0),"",AB31/D31)</f>
        <v/>
      </c>
    </row>
    <row r="32">
      <c r="A32" t="inlineStr">
        <is>
          <t>2026-06-24</t>
        </is>
      </c>
      <c r="B32" t="n">
        <v>0.15504797</v>
      </c>
      <c r="C32">
        <f>IFERROR(B32/B31-1,"")</f>
        <v/>
      </c>
      <c r="D32" t="n">
        <v>11000000</v>
      </c>
      <c r="E32" t="n">
        <v>48.97</v>
      </c>
      <c r="F32" t="n">
        <v>0.00010257</v>
      </c>
      <c r="G32" t="n">
        <v>5e-05</v>
      </c>
      <c r="H32" t="n">
        <v>0.00019591</v>
      </c>
      <c r="I32" t="n">
        <v>6</v>
      </c>
      <c r="L32" t="n">
        <v>5400000</v>
      </c>
      <c r="O32" t="n">
        <v>1.456</v>
      </c>
      <c r="P32" t="n">
        <v>1.0173</v>
      </c>
      <c r="Q32" t="n">
        <v>1.1422</v>
      </c>
      <c r="R32">
        <f>IFERROR(O32/P32,"")</f>
        <v/>
      </c>
      <c r="S32">
        <f>IFERROR(AVERAGE(R30:R32),"")</f>
        <v/>
      </c>
      <c r="T32">
        <f>IFERROR(Q32/Q27,"")</f>
        <v/>
      </c>
      <c r="U32">
        <f>IFERROR(O32/O29-1,"")</f>
        <v/>
      </c>
      <c r="V32">
        <f>IFERROR(P32/P29-1,"")</f>
        <v/>
      </c>
      <c r="AJ32">
        <f>IF(OR(AB32="",D32="",D32=0),"",AB32/D32)</f>
        <v/>
      </c>
    </row>
    <row r="33">
      <c r="A33" t="inlineStr">
        <is>
          <t>2026-06-25</t>
        </is>
      </c>
      <c r="B33" t="n">
        <v>0.14956725</v>
      </c>
      <c r="C33">
        <f>IFERROR(B33/B32-1,"")</f>
        <v/>
      </c>
      <c r="D33" t="n">
        <v>3700000</v>
      </c>
      <c r="E33" t="n">
        <v>49.43</v>
      </c>
      <c r="F33" t="n">
        <v>5e-05</v>
      </c>
      <c r="G33" t="n">
        <v>5e-05</v>
      </c>
      <c r="H33" t="n">
        <v>5e-05</v>
      </c>
      <c r="I33" t="n">
        <v>6</v>
      </c>
      <c r="L33" t="n">
        <v>4000000</v>
      </c>
      <c r="O33" t="n">
        <v>1.6679</v>
      </c>
      <c r="P33" t="n">
        <v>1.2472</v>
      </c>
      <c r="Q33" t="n">
        <v>1.3277</v>
      </c>
      <c r="R33">
        <f>IFERROR(O33/P33,"")</f>
        <v/>
      </c>
      <c r="S33">
        <f>IFERROR(AVERAGE(R31:R33),"")</f>
        <v/>
      </c>
      <c r="T33">
        <f>IFERROR(Q33/Q28,"")</f>
        <v/>
      </c>
      <c r="U33">
        <f>IFERROR(O33/O30-1,"")</f>
        <v/>
      </c>
      <c r="V33">
        <f>IFERROR(P33/P30-1,"")</f>
        <v/>
      </c>
      <c r="AJ33">
        <f>IF(OR(AB33="",D33="",D33=0),"",AB33/D33)</f>
        <v/>
      </c>
    </row>
    <row r="34">
      <c r="A34" t="inlineStr">
        <is>
          <t>2026-06-26</t>
        </is>
      </c>
      <c r="B34" t="n">
        <v>0.14180981</v>
      </c>
      <c r="C34">
        <f>IFERROR(B34/B33-1,"")</f>
        <v/>
      </c>
      <c r="D34" t="n">
        <v>2600000</v>
      </c>
      <c r="E34" t="n">
        <v>47.94</v>
      </c>
      <c r="F34" t="n">
        <v>5e-05</v>
      </c>
      <c r="G34" t="n">
        <v>5e-05</v>
      </c>
      <c r="H34" t="n">
        <v>5e-05</v>
      </c>
      <c r="I34" t="n">
        <v>6</v>
      </c>
      <c r="L34" t="n">
        <v>3800000</v>
      </c>
      <c r="O34" t="n">
        <v>1.6511</v>
      </c>
      <c r="P34" t="n">
        <v>1.2624</v>
      </c>
      <c r="Q34" t="n">
        <v>1.4201</v>
      </c>
      <c r="R34">
        <f>IFERROR(O34/P34,"")</f>
        <v/>
      </c>
      <c r="S34">
        <f>IFERROR(AVERAGE(R32:R34),"")</f>
        <v/>
      </c>
      <c r="T34">
        <f>IFERROR(Q34/Q29,"")</f>
        <v/>
      </c>
      <c r="U34">
        <f>IFERROR(O34/O31-1,"")</f>
        <v/>
      </c>
      <c r="V34">
        <f>IFERROR(P34/P31-1,"")</f>
        <v/>
      </c>
      <c r="AJ34">
        <f>IF(OR(AB34="",D34="",D34=0),"",AB34/D34)</f>
        <v/>
      </c>
    </row>
    <row r="35">
      <c r="A35" t="inlineStr">
        <is>
          <t>2026-06-27</t>
        </is>
      </c>
      <c r="B35" t="n">
        <v>0.15485471</v>
      </c>
      <c r="C35">
        <f>IFERROR(B35/B34-1,"")</f>
        <v/>
      </c>
      <c r="D35" t="n">
        <v>9600000</v>
      </c>
      <c r="E35" t="n">
        <v>49.35</v>
      </c>
      <c r="F35" t="n">
        <v>5.0966667e-05</v>
      </c>
      <c r="G35" t="n">
        <v>5e-05</v>
      </c>
      <c r="H35" t="n">
        <v>5.58e-05</v>
      </c>
      <c r="I35" t="n">
        <v>6</v>
      </c>
      <c r="L35" t="n">
        <v>3700000</v>
      </c>
      <c r="O35" t="n">
        <v>1.6685</v>
      </c>
      <c r="P35" t="n">
        <v>1.2701</v>
      </c>
      <c r="Q35" t="n">
        <v>1.4319</v>
      </c>
      <c r="R35">
        <f>IFERROR(O35/P35,"")</f>
        <v/>
      </c>
      <c r="S35">
        <f>IFERROR(AVERAGE(R33:R35),"")</f>
        <v/>
      </c>
      <c r="T35">
        <f>IFERROR(Q35/Q30,"")</f>
        <v/>
      </c>
      <c r="U35">
        <f>IFERROR(O35/O32-1,"")</f>
        <v/>
      </c>
      <c r="V35">
        <f>IFERROR(P35/P32-1,"")</f>
        <v/>
      </c>
      <c r="AJ35">
        <f>IF(OR(AB35="",D35="",D35=0),"",AB35/D35)</f>
        <v/>
      </c>
    </row>
    <row r="36">
      <c r="A36" t="inlineStr">
        <is>
          <t>2026-06-28</t>
        </is>
      </c>
      <c r="B36" t="n">
        <v>0.1408509</v>
      </c>
      <c r="C36">
        <f>IFERROR(B36/B35-1,"")</f>
        <v/>
      </c>
      <c r="D36" t="n">
        <v>7800000</v>
      </c>
      <c r="E36" t="n">
        <v>47.73</v>
      </c>
      <c r="F36" t="n">
        <v>5e-05</v>
      </c>
      <c r="G36" t="n">
        <v>5e-05</v>
      </c>
      <c r="H36" t="n">
        <v>5e-05</v>
      </c>
      <c r="I36" t="n">
        <v>6</v>
      </c>
      <c r="L36" t="n">
        <v>3800000</v>
      </c>
      <c r="O36" t="n">
        <v>1.6399</v>
      </c>
      <c r="P36" t="n">
        <v>1.2311</v>
      </c>
      <c r="Q36" t="n">
        <v>1.4576</v>
      </c>
      <c r="R36">
        <f>IFERROR(O36/P36,"")</f>
        <v/>
      </c>
      <c r="S36">
        <f>IFERROR(AVERAGE(R34:R36),"")</f>
        <v/>
      </c>
      <c r="T36">
        <f>IFERROR(Q36/Q31,"")</f>
        <v/>
      </c>
      <c r="U36">
        <f>IFERROR(O36/O33-1,"")</f>
        <v/>
      </c>
      <c r="V36">
        <f>IFERROR(P36/P33-1,"")</f>
        <v/>
      </c>
      <c r="AJ36">
        <f>IF(OR(AB36="",D36="",D36=0),"",AB36/D36)</f>
        <v/>
      </c>
    </row>
    <row r="37">
      <c r="A37" t="inlineStr">
        <is>
          <t>2026-06-29</t>
        </is>
      </c>
      <c r="B37" t="n">
        <v>0.15507715</v>
      </c>
      <c r="C37">
        <f>IFERROR(B37/B36-1,"")</f>
        <v/>
      </c>
      <c r="D37" t="n">
        <v>10000000</v>
      </c>
      <c r="E37" t="n">
        <v>49.91</v>
      </c>
      <c r="F37" t="n">
        <v>5.3536667e-05</v>
      </c>
      <c r="G37" t="n">
        <v>5e-05</v>
      </c>
      <c r="H37" t="n">
        <v>7.122e-05</v>
      </c>
      <c r="I37" t="n">
        <v>6</v>
      </c>
      <c r="L37" t="n">
        <v>3900000</v>
      </c>
      <c r="O37" t="n">
        <v>1.6776</v>
      </c>
      <c r="P37" t="n">
        <v>1.2316</v>
      </c>
      <c r="Q37" t="n">
        <v>1.4131</v>
      </c>
      <c r="R37">
        <f>IFERROR(O37/P37,"")</f>
        <v/>
      </c>
      <c r="S37">
        <f>IFERROR(AVERAGE(R35:R37),"")</f>
        <v/>
      </c>
      <c r="T37">
        <f>IFERROR(Q37/Q32,"")</f>
        <v/>
      </c>
      <c r="U37">
        <f>IFERROR(O37/O34-1,"")</f>
        <v/>
      </c>
      <c r="V37">
        <f>IFERROR(P37/P34-1,"")</f>
        <v/>
      </c>
      <c r="AJ37">
        <f>IF(OR(AB37="",D37="",D37=0),"",AB37/D37)</f>
        <v/>
      </c>
    </row>
    <row r="38">
      <c r="A38" t="inlineStr">
        <is>
          <t>2026-06-30</t>
        </is>
      </c>
      <c r="B38" t="n">
        <v>0.1432963</v>
      </c>
      <c r="C38">
        <f>IFERROR(B38/B37-1,"")</f>
        <v/>
      </c>
      <c r="D38" t="n">
        <v>3900000</v>
      </c>
      <c r="E38" t="n">
        <v>50.14</v>
      </c>
      <c r="F38" t="n">
        <v>6.0115e-05</v>
      </c>
      <c r="G38" t="n">
        <v>5e-05</v>
      </c>
      <c r="H38" t="n">
        <v>9.849e-05</v>
      </c>
      <c r="I38" t="n">
        <v>6</v>
      </c>
      <c r="L38" t="n">
        <v>3700000</v>
      </c>
      <c r="O38" t="n">
        <v>1.588</v>
      </c>
      <c r="P38" t="n">
        <v>1.3502</v>
      </c>
      <c r="Q38" t="n">
        <v>1.588</v>
      </c>
      <c r="R38">
        <f>IFERROR(O38/P38,"")</f>
        <v/>
      </c>
      <c r="S38">
        <f>IFERROR(AVERAGE(R36:R38),"")</f>
        <v/>
      </c>
      <c r="T38">
        <f>IFERROR(Q38/Q33,"")</f>
        <v/>
      </c>
      <c r="U38">
        <f>IFERROR(O38/O35-1,"")</f>
        <v/>
      </c>
      <c r="V38">
        <f>IFERROR(P38/P35-1,"")</f>
        <v/>
      </c>
      <c r="AJ38">
        <f>IF(OR(AB38="",D38="",D38=0),"",AB38/D38)</f>
        <v/>
      </c>
    </row>
    <row r="39">
      <c r="A39" t="inlineStr">
        <is>
          <t>2026-07-01</t>
        </is>
      </c>
      <c r="B39" t="n">
        <v>0.14739071</v>
      </c>
      <c r="C39">
        <f>IFERROR(B39/B38-1,"")</f>
        <v/>
      </c>
      <c r="D39" t="n">
        <v>3700000</v>
      </c>
      <c r="E39" t="n">
        <v>49.94</v>
      </c>
      <c r="F39" t="n">
        <v>6.6176667e-05</v>
      </c>
      <c r="G39" t="n">
        <v>5e-05</v>
      </c>
      <c r="H39" t="n">
        <v>0.000104</v>
      </c>
      <c r="I39" t="n">
        <v>6</v>
      </c>
      <c r="L39" t="n">
        <v>3800000</v>
      </c>
      <c r="O39" t="n">
        <v>1.5481</v>
      </c>
      <c r="P39" t="n">
        <v>1.3918</v>
      </c>
      <c r="Q39" t="n">
        <v>1.6788</v>
      </c>
      <c r="R39">
        <f>IFERROR(O39/P39,"")</f>
        <v/>
      </c>
      <c r="S39">
        <f>IFERROR(AVERAGE(R37:R39),"")</f>
        <v/>
      </c>
      <c r="T39">
        <f>IFERROR(Q39/Q34,"")</f>
        <v/>
      </c>
      <c r="U39">
        <f>IFERROR(O39/O36-1,"")</f>
        <v/>
      </c>
      <c r="V39">
        <f>IFERROR(P39/P36-1,"")</f>
        <v/>
      </c>
      <c r="AJ39">
        <f>IF(OR(AB39="",D39="",D39=0),"",AB39/D39)</f>
        <v/>
      </c>
    </row>
    <row r="40">
      <c r="A40" t="inlineStr">
        <is>
          <t>2026-07-02</t>
        </is>
      </c>
      <c r="B40" t="n">
        <v>0.15204803</v>
      </c>
      <c r="C40">
        <f>IFERROR(B40/B39-1,"")</f>
        <v/>
      </c>
      <c r="D40" t="n">
        <v>4700000</v>
      </c>
      <c r="E40" t="n">
        <v>48.88</v>
      </c>
      <c r="F40" t="n">
        <v>5.2778333e-05</v>
      </c>
      <c r="G40" t="n">
        <v>5e-05</v>
      </c>
      <c r="H40" t="n">
        <v>6.075e-05</v>
      </c>
      <c r="I40" t="n">
        <v>6</v>
      </c>
      <c r="L40" t="n">
        <v>3700000</v>
      </c>
      <c r="O40" t="n">
        <v>1.5661</v>
      </c>
      <c r="P40" t="n">
        <v>1.5419</v>
      </c>
      <c r="Q40" t="n">
        <v>1.9869</v>
      </c>
      <c r="R40">
        <f>IFERROR(O40/P40,"")</f>
        <v/>
      </c>
      <c r="S40">
        <f>IFERROR(AVERAGE(R38:R40),"")</f>
        <v/>
      </c>
      <c r="T40">
        <f>IFERROR(Q40/Q35,"")</f>
        <v/>
      </c>
      <c r="U40">
        <f>IFERROR(O40/O37-1,"")</f>
        <v/>
      </c>
      <c r="V40">
        <f>IFERROR(P40/P37-1,"")</f>
        <v/>
      </c>
      <c r="AJ40">
        <f>IF(OR(AB40="",D40="",D40=0),"",AB40/D40)</f>
        <v/>
      </c>
    </row>
    <row r="41">
      <c r="A41" t="inlineStr">
        <is>
          <t>2026-07-03</t>
        </is>
      </c>
      <c r="B41" t="n">
        <v>0.15348848</v>
      </c>
      <c r="C41">
        <f>IFERROR(B41/B40-1,"")</f>
        <v/>
      </c>
      <c r="D41" t="n">
        <v>3600000</v>
      </c>
      <c r="E41" t="n">
        <v>47.17</v>
      </c>
      <c r="F41" t="n">
        <v>9.3916667e-05</v>
      </c>
      <c r="G41" t="n">
        <v>5e-05</v>
      </c>
      <c r="H41" t="n">
        <v>0.00030111</v>
      </c>
      <c r="I41" t="n">
        <v>6</v>
      </c>
      <c r="L41" t="n">
        <v>4200000</v>
      </c>
      <c r="O41" t="n">
        <v>1.54</v>
      </c>
      <c r="P41" t="n">
        <v>1.4691</v>
      </c>
      <c r="Q41" t="n">
        <v>1.924</v>
      </c>
      <c r="R41">
        <f>IFERROR(O41/P41,"")</f>
        <v/>
      </c>
      <c r="S41">
        <f>IFERROR(AVERAGE(R39:R41),"")</f>
        <v/>
      </c>
      <c r="T41">
        <f>IFERROR(Q41/Q36,"")</f>
        <v/>
      </c>
      <c r="U41">
        <f>IFERROR(O41/O38-1,"")</f>
        <v/>
      </c>
      <c r="V41">
        <f>IFERROR(P41/P38-1,"")</f>
        <v/>
      </c>
      <c r="AJ41">
        <f>IF(OR(AB41="",D41="",D41=0),"",AB41/D41)</f>
        <v/>
      </c>
    </row>
    <row r="42">
      <c r="A42" t="inlineStr">
        <is>
          <t>2026-07-04</t>
        </is>
      </c>
      <c r="B42" t="n">
        <v>0.15156456</v>
      </c>
      <c r="C42">
        <f>IFERROR(B42/B41-1,"")</f>
        <v/>
      </c>
      <c r="D42" t="n">
        <v>2400000</v>
      </c>
      <c r="E42" t="n">
        <v>48.82</v>
      </c>
      <c r="F42" t="n">
        <v>6.4121667e-05</v>
      </c>
      <c r="G42" t="n">
        <v>5e-05</v>
      </c>
      <c r="H42" t="n">
        <v>9.355e-05</v>
      </c>
      <c r="I42" t="n">
        <v>6</v>
      </c>
      <c r="L42" t="n">
        <v>3800000</v>
      </c>
      <c r="O42" t="n">
        <v>1.5323</v>
      </c>
      <c r="P42" t="n">
        <v>1.4408</v>
      </c>
      <c r="Q42" t="n">
        <v>1.9412</v>
      </c>
      <c r="R42">
        <f>IFERROR(O42/P42,"")</f>
        <v/>
      </c>
      <c r="S42">
        <f>IFERROR(AVERAGE(R40:R42),"")</f>
        <v/>
      </c>
      <c r="T42">
        <f>IFERROR(Q42/Q37,"")</f>
        <v/>
      </c>
      <c r="U42">
        <f>IFERROR(O42/O39-1,"")</f>
        <v/>
      </c>
      <c r="V42">
        <f>IFERROR(P42/P39-1,"")</f>
        <v/>
      </c>
      <c r="AJ42">
        <f>IF(OR(AB42="",D42="",D42=0),"",AB42/D42)</f>
        <v/>
      </c>
    </row>
    <row r="43">
      <c r="A43" t="inlineStr">
        <is>
          <t>2026-07-05</t>
        </is>
      </c>
      <c r="B43" t="n">
        <v>0.15015006</v>
      </c>
      <c r="C43">
        <f>IFERROR(B43/B42-1,"")</f>
        <v/>
      </c>
      <c r="D43" t="n">
        <v>1800000</v>
      </c>
      <c r="E43" t="n">
        <v>48.38</v>
      </c>
      <c r="F43" t="n">
        <v>6.1806667e-05</v>
      </c>
      <c r="G43" t="n">
        <v>5e-05</v>
      </c>
      <c r="H43" t="n">
        <v>9.061e-05</v>
      </c>
      <c r="I43" t="n">
        <v>6</v>
      </c>
      <c r="L43" t="n">
        <v>4000000</v>
      </c>
      <c r="O43" t="n">
        <v>1.5337</v>
      </c>
      <c r="P43" t="n">
        <v>1.4021</v>
      </c>
      <c r="Q43" t="n">
        <v>1.8409</v>
      </c>
      <c r="R43">
        <f>IFERROR(O43/P43,"")</f>
        <v/>
      </c>
      <c r="S43">
        <f>IFERROR(AVERAGE(R41:R43),"")</f>
        <v/>
      </c>
      <c r="T43">
        <f>IFERROR(Q43/Q38,"")</f>
        <v/>
      </c>
      <c r="U43">
        <f>IFERROR(O43/O40-1,"")</f>
        <v/>
      </c>
      <c r="V43">
        <f>IFERROR(P43/P40-1,"")</f>
        <v/>
      </c>
      <c r="AJ43">
        <f>IF(OR(AB43="",D43="",D43=0),"",AB43/D43)</f>
        <v/>
      </c>
    </row>
    <row r="44">
      <c r="A44" t="inlineStr">
        <is>
          <t>2026-07-06</t>
        </is>
      </c>
      <c r="B44" t="n">
        <v>0.14347506</v>
      </c>
      <c r="C44">
        <f>IFERROR(B44/B43-1,"")</f>
        <v/>
      </c>
      <c r="D44" t="n">
        <v>3100000</v>
      </c>
      <c r="E44" t="n">
        <v>45.86</v>
      </c>
      <c r="F44" t="n">
        <v>0.000159465</v>
      </c>
      <c r="G44" t="n">
        <v>5e-05</v>
      </c>
      <c r="H44" t="n">
        <v>0.00044125</v>
      </c>
      <c r="I44" t="n">
        <v>6</v>
      </c>
      <c r="L44" t="n">
        <v>3900000</v>
      </c>
      <c r="O44" t="n">
        <v>1.5496</v>
      </c>
      <c r="P44" t="n">
        <v>1.505</v>
      </c>
      <c r="Q44" t="n">
        <v>2.0039</v>
      </c>
      <c r="R44">
        <f>IFERROR(O44/P44,"")</f>
        <v/>
      </c>
      <c r="S44">
        <f>IFERROR(AVERAGE(R42:R44),"")</f>
        <v/>
      </c>
      <c r="T44">
        <f>IFERROR(Q44/Q39,"")</f>
        <v/>
      </c>
      <c r="U44">
        <f>IFERROR(O44/O41-1,"")</f>
        <v/>
      </c>
      <c r="V44">
        <f>IFERROR(P44/P41-1,"")</f>
        <v/>
      </c>
      <c r="AJ44">
        <f>IF(OR(AB44="",D44="",D44=0),"",AB44/D44)</f>
        <v/>
      </c>
    </row>
    <row r="45">
      <c r="A45" t="inlineStr">
        <is>
          <t>2026-07-07</t>
        </is>
      </c>
      <c r="B45" t="n">
        <v>0.14649589</v>
      </c>
      <c r="C45">
        <f>IFERROR(B45/B44-1,"")</f>
        <v/>
      </c>
      <c r="D45" t="n">
        <v>3100000</v>
      </c>
      <c r="E45" t="n">
        <v>48.82</v>
      </c>
      <c r="F45" t="n">
        <v>5.0818333e-05</v>
      </c>
      <c r="G45" t="n">
        <v>5e-05</v>
      </c>
      <c r="H45" t="n">
        <v>5.491e-05</v>
      </c>
      <c r="I45" t="n">
        <v>6</v>
      </c>
      <c r="L45" t="n">
        <v>3800000</v>
      </c>
      <c r="O45" t="n">
        <v>1.556</v>
      </c>
      <c r="P45" t="n">
        <v>1.5445</v>
      </c>
      <c r="Q45" t="n">
        <v>1.9797</v>
      </c>
      <c r="R45">
        <f>IFERROR(O45/P45,"")</f>
        <v/>
      </c>
      <c r="S45">
        <f>IFERROR(AVERAGE(R43:R45),"")</f>
        <v/>
      </c>
      <c r="T45">
        <f>IFERROR(Q45/Q40,"")</f>
        <v/>
      </c>
      <c r="U45">
        <f>IFERROR(O45/O42-1,"")</f>
        <v/>
      </c>
      <c r="V45">
        <f>IFERROR(P45/P42-1,"")</f>
        <v/>
      </c>
      <c r="AJ45">
        <f>IF(OR(AB45="",D45="",D45=0),"",AB45/D45)</f>
        <v/>
      </c>
    </row>
    <row r="46">
      <c r="A46" t="inlineStr">
        <is>
          <t>2026-07-08</t>
        </is>
      </c>
      <c r="B46" t="n">
        <v>0.14401221</v>
      </c>
      <c r="C46">
        <f>IFERROR(B46/B45-1,"")</f>
        <v/>
      </c>
      <c r="D46" t="n">
        <v>2900000</v>
      </c>
      <c r="E46" t="n">
        <v>52.01</v>
      </c>
      <c r="F46" t="n">
        <v>5.9325e-05</v>
      </c>
      <c r="G46" t="n">
        <v>5e-05</v>
      </c>
      <c r="H46" t="n">
        <v>0.00010595</v>
      </c>
      <c r="I46" t="n">
        <v>6</v>
      </c>
      <c r="L46" t="n">
        <v>3700000</v>
      </c>
      <c r="O46" t="n">
        <v>1.5864</v>
      </c>
      <c r="P46" t="n">
        <v>1.4969</v>
      </c>
      <c r="Q46" t="n">
        <v>1.9638</v>
      </c>
      <c r="R46">
        <f>IFERROR(O46/P46,"")</f>
        <v/>
      </c>
      <c r="S46">
        <f>IFERROR(AVERAGE(R44:R46),"")</f>
        <v/>
      </c>
      <c r="T46">
        <f>IFERROR(Q46/Q41,"")</f>
        <v/>
      </c>
      <c r="U46">
        <f>IFERROR(O46/O43-1,"")</f>
        <v/>
      </c>
      <c r="V46">
        <f>IFERROR(P46/P43-1,"")</f>
        <v/>
      </c>
      <c r="AJ46">
        <f>IF(OR(AB46="",D46="",D46=0),"",AB46/D46)</f>
        <v/>
      </c>
    </row>
    <row r="47">
      <c r="A47" t="inlineStr">
        <is>
          <t>2026-07-09</t>
        </is>
      </c>
      <c r="B47" t="n">
        <v>0.14751138</v>
      </c>
      <c r="C47">
        <f>IFERROR(B47/B46-1,"")</f>
        <v/>
      </c>
      <c r="D47" t="n">
        <v>1800000</v>
      </c>
      <c r="E47" t="n">
        <v>50.19</v>
      </c>
      <c r="F47" t="n">
        <v>0.00011703333</v>
      </c>
      <c r="G47" t="n">
        <v>5e-05</v>
      </c>
      <c r="H47" t="n">
        <v>0.00030366</v>
      </c>
      <c r="I47" t="n">
        <v>6</v>
      </c>
      <c r="L47" t="n">
        <v>3800000</v>
      </c>
      <c r="O47" t="n">
        <v>1.587</v>
      </c>
      <c r="P47" t="n">
        <v>1.4073</v>
      </c>
      <c r="Q47" t="n">
        <v>1.881</v>
      </c>
      <c r="R47">
        <f>IFERROR(O47/P47,"")</f>
        <v/>
      </c>
      <c r="S47">
        <f>IFERROR(AVERAGE(R45:R47),"")</f>
        <v/>
      </c>
      <c r="T47">
        <f>IFERROR(Q47/Q42,"")</f>
        <v/>
      </c>
      <c r="U47">
        <f>IFERROR(O47/O44-1,"")</f>
        <v/>
      </c>
      <c r="V47">
        <f>IFERROR(P47/P44-1,"")</f>
        <v/>
      </c>
      <c r="AJ47">
        <f>IF(OR(AB47="",D47="",D47=0),"",AB47/D47)</f>
        <v/>
      </c>
    </row>
    <row r="48">
      <c r="A48" t="inlineStr">
        <is>
          <t>2026-07-10</t>
        </is>
      </c>
      <c r="B48" t="n">
        <v>0.15097967</v>
      </c>
      <c r="C48">
        <f>IFERROR(B48/B47-1,"")</f>
        <v/>
      </c>
      <c r="D48" t="n">
        <v>1700000</v>
      </c>
      <c r="E48" t="n">
        <v>52.4</v>
      </c>
      <c r="F48" t="n">
        <v>0.00027251833</v>
      </c>
      <c r="G48" t="n">
        <v>5e-05</v>
      </c>
      <c r="H48" t="n">
        <v>0.00048417</v>
      </c>
      <c r="I48" t="n">
        <v>6</v>
      </c>
      <c r="L48" t="n">
        <v>3800000</v>
      </c>
      <c r="O48" t="n">
        <v>1.5628</v>
      </c>
      <c r="P48" t="n">
        <v>1.482</v>
      </c>
      <c r="Q48" t="n">
        <v>1.978</v>
      </c>
      <c r="R48">
        <f>IFERROR(O48/P48,"")</f>
        <v/>
      </c>
      <c r="S48">
        <f>IFERROR(AVERAGE(R46:R48),"")</f>
        <v/>
      </c>
      <c r="T48">
        <f>IFERROR(Q48/Q43,"")</f>
        <v/>
      </c>
      <c r="U48">
        <f>IFERROR(O48/O45-1,"")</f>
        <v/>
      </c>
      <c r="V48">
        <f>IFERROR(P48/P45-1,"")</f>
        <v/>
      </c>
      <c r="AJ48">
        <f>IF(OR(AB48="",D48="",D48=0),"",AB48/D48)</f>
        <v/>
      </c>
    </row>
    <row r="49">
      <c r="A49" t="inlineStr">
        <is>
          <t>2026-07-11</t>
        </is>
      </c>
      <c r="B49" t="n">
        <v>0.14684948</v>
      </c>
      <c r="C49">
        <f>IFERROR(B49/B48-1,"")</f>
        <v/>
      </c>
      <c r="D49" t="n">
        <v>1700000</v>
      </c>
      <c r="E49" t="n">
        <v>44.59</v>
      </c>
      <c r="F49" t="n">
        <v>0.00011145167</v>
      </c>
      <c r="G49" t="n">
        <v>5e-05</v>
      </c>
      <c r="H49" t="n">
        <v>0.00030935</v>
      </c>
      <c r="I49" t="n">
        <v>6</v>
      </c>
      <c r="L49" t="n">
        <v>4000000</v>
      </c>
      <c r="O49" t="n">
        <v>1.5887</v>
      </c>
      <c r="P49" t="n">
        <v>1.4492</v>
      </c>
      <c r="Q49" t="n">
        <v>2.0039</v>
      </c>
      <c r="R49">
        <f>IFERROR(O49/P49,"")</f>
        <v/>
      </c>
      <c r="S49">
        <f>IFERROR(AVERAGE(R47:R49),"")</f>
        <v/>
      </c>
      <c r="T49">
        <f>IFERROR(Q49/Q44,"")</f>
        <v/>
      </c>
      <c r="U49">
        <f>IFERROR(O49/O46-1,"")</f>
        <v/>
      </c>
      <c r="V49">
        <f>IFERROR(P49/P46-1,"")</f>
        <v/>
      </c>
      <c r="AJ49">
        <f>IF(OR(AB49="",D49="",D49=0),"",AB49/D49)</f>
        <v/>
      </c>
    </row>
    <row r="50">
      <c r="A50" t="inlineStr">
        <is>
          <t>2026-07-12</t>
        </is>
      </c>
      <c r="B50" t="n">
        <v>0.14515146</v>
      </c>
      <c r="C50">
        <f>IFERROR(B50/B49-1,"")</f>
        <v/>
      </c>
      <c r="D50" t="n">
        <v>1300000</v>
      </c>
      <c r="E50" t="n">
        <v>48.89</v>
      </c>
      <c r="F50" t="n">
        <v>7.4968333e-05</v>
      </c>
      <c r="G50" t="n">
        <v>5e-05</v>
      </c>
      <c r="H50" t="n">
        <v>0.00019981</v>
      </c>
      <c r="I50" t="n">
        <v>6</v>
      </c>
      <c r="L50" t="n">
        <v>3900000</v>
      </c>
      <c r="O50" t="n">
        <v>1.583</v>
      </c>
      <c r="P50" t="n">
        <v>1.4027</v>
      </c>
      <c r="Q50" t="n">
        <v>1.9976</v>
      </c>
      <c r="R50">
        <f>IFERROR(O50/P50,"")</f>
        <v/>
      </c>
      <c r="S50">
        <f>IFERROR(AVERAGE(R48:R50),"")</f>
        <v/>
      </c>
      <c r="T50">
        <f>IFERROR(Q50/Q45,"")</f>
        <v/>
      </c>
      <c r="U50">
        <f>IFERROR(O50/O47-1,"")</f>
        <v/>
      </c>
      <c r="V50">
        <f>IFERROR(P50/P47-1,"")</f>
        <v/>
      </c>
      <c r="AJ50">
        <f>IF(OR(AB50="",D50="",D50=0),"",AB50/D50)</f>
        <v/>
      </c>
    </row>
    <row r="51">
      <c r="A51" t="inlineStr">
        <is>
          <t>2026-07-13</t>
        </is>
      </c>
      <c r="B51" t="n">
        <v>0.1405505</v>
      </c>
      <c r="C51">
        <f>IFERROR(B51/B50-1,"")</f>
        <v/>
      </c>
      <c r="D51" t="n">
        <v>1300000</v>
      </c>
      <c r="E51" t="n">
        <v>53</v>
      </c>
      <c r="F51" t="n">
        <v>7.6065e-05</v>
      </c>
      <c r="G51" t="n">
        <v>5e-05</v>
      </c>
      <c r="H51" t="n">
        <v>0.00020639</v>
      </c>
      <c r="I51" t="n">
        <v>6</v>
      </c>
      <c r="L51" t="n">
        <v>3700000</v>
      </c>
      <c r="O51" t="n">
        <v>1.5881</v>
      </c>
      <c r="P51" t="n">
        <v>1.6385</v>
      </c>
      <c r="Q51" t="n">
        <v>2.2938</v>
      </c>
      <c r="R51">
        <f>IFERROR(O51/P51,"")</f>
        <v/>
      </c>
      <c r="S51">
        <f>IFERROR(AVERAGE(R49:R51),"")</f>
        <v/>
      </c>
      <c r="T51">
        <f>IFERROR(Q51/Q46,"")</f>
        <v/>
      </c>
      <c r="U51">
        <f>IFERROR(O51/O48-1,"")</f>
        <v/>
      </c>
      <c r="V51">
        <f>IFERROR(P51/P48-1,"")</f>
        <v/>
      </c>
      <c r="AJ51">
        <f>IF(OR(AB51="",D51="",D51=0),"",AB51/D51)</f>
        <v/>
      </c>
    </row>
    <row r="52">
      <c r="A52" t="inlineStr">
        <is>
          <t>2026-07-14</t>
        </is>
      </c>
      <c r="B52" t="n">
        <v>0.14374854</v>
      </c>
      <c r="C52">
        <f>IFERROR(B52/B51-1,"")</f>
        <v/>
      </c>
      <c r="D52" t="n">
        <v>1700000</v>
      </c>
      <c r="E52" t="n">
        <v>52.06</v>
      </c>
      <c r="F52" t="n">
        <v>0.00018826333</v>
      </c>
      <c r="G52" t="n">
        <v>5e-05</v>
      </c>
      <c r="H52" t="n">
        <v>0.00048455</v>
      </c>
      <c r="I52" t="n">
        <v>6</v>
      </c>
      <c r="L52" t="n">
        <v>3600000</v>
      </c>
      <c r="O52" t="n">
        <v>1.5917</v>
      </c>
      <c r="P52" t="n">
        <v>1.7226</v>
      </c>
      <c r="Q52" t="n">
        <v>2.3535</v>
      </c>
      <c r="R52">
        <f>IFERROR(O52/P52,"")</f>
        <v/>
      </c>
      <c r="S52">
        <f>IFERROR(AVERAGE(R50:R52),"")</f>
        <v/>
      </c>
      <c r="T52">
        <f>IFERROR(Q52/Q47,"")</f>
        <v/>
      </c>
      <c r="U52">
        <f>IFERROR(O52/O49-1,"")</f>
        <v/>
      </c>
      <c r="V52">
        <f>IFERROR(P52/P49-1,"")</f>
        <v/>
      </c>
      <c r="AJ52">
        <f>IF(OR(AB52="",D52="",D52=0),"",AB52/D52)</f>
        <v/>
      </c>
    </row>
    <row r="53">
      <c r="A53" t="inlineStr">
        <is>
          <t>2026-07-15</t>
        </is>
      </c>
      <c r="B53" t="n">
        <v>0.14705272</v>
      </c>
      <c r="C53">
        <f>IFERROR(B53/B52-1,"")</f>
        <v/>
      </c>
      <c r="D53" t="n">
        <v>1900000</v>
      </c>
      <c r="E53" t="n">
        <v>48.93</v>
      </c>
      <c r="F53" t="n">
        <v>6.2358333e-05</v>
      </c>
      <c r="G53" t="n">
        <v>5e-05</v>
      </c>
      <c r="H53" t="n">
        <v>8.966000000000001e-05</v>
      </c>
      <c r="I53" t="n">
        <v>6</v>
      </c>
      <c r="L53" t="n">
        <v>3900000</v>
      </c>
      <c r="O53" t="n">
        <v>1.5864</v>
      </c>
      <c r="P53" t="n">
        <v>1.5893</v>
      </c>
      <c r="Q53" t="n">
        <v>2.231</v>
      </c>
      <c r="R53">
        <f>IFERROR(O53/P53,"")</f>
        <v/>
      </c>
      <c r="S53">
        <f>IFERROR(AVERAGE(R51:R53),"")</f>
        <v/>
      </c>
      <c r="T53">
        <f>IFERROR(Q53/Q48,"")</f>
        <v/>
      </c>
      <c r="U53">
        <f>IFERROR(O53/O50-1,"")</f>
        <v/>
      </c>
      <c r="V53">
        <f>IFERROR(P53/P50-1,"")</f>
        <v/>
      </c>
      <c r="AJ53">
        <f>IF(OR(AB53="",D53="",D53=0),"",AB53/D53)</f>
        <v/>
      </c>
    </row>
    <row r="54">
      <c r="A54" t="inlineStr">
        <is>
          <t>2026-07-16</t>
        </is>
      </c>
      <c r="B54" t="n">
        <v>0.14719846</v>
      </c>
      <c r="C54">
        <f>IFERROR(B54/B53-1,"")</f>
        <v/>
      </c>
      <c r="D54" t="n">
        <v>1500000</v>
      </c>
      <c r="E54" t="n">
        <v>48.31</v>
      </c>
      <c r="F54" t="n">
        <v>0.00015960333</v>
      </c>
      <c r="G54" t="n">
        <v>5e-05</v>
      </c>
      <c r="H54" t="n">
        <v>0.00032344</v>
      </c>
      <c r="I54" t="n">
        <v>6</v>
      </c>
      <c r="L54" t="n">
        <v>3900000</v>
      </c>
      <c r="O54" t="n">
        <v>1.5985</v>
      </c>
      <c r="P54" t="n">
        <v>1.6882</v>
      </c>
      <c r="Q54" t="n">
        <v>2.4095</v>
      </c>
      <c r="R54">
        <f>IFERROR(O54/P54,"")</f>
        <v/>
      </c>
      <c r="S54">
        <f>IFERROR(AVERAGE(R52:R54),"")</f>
        <v/>
      </c>
      <c r="T54">
        <f>IFERROR(Q54/Q49,"")</f>
        <v/>
      </c>
      <c r="U54">
        <f>IFERROR(O54/O51-1,"")</f>
        <v/>
      </c>
      <c r="V54">
        <f>IFERROR(P54/P51-1,"")</f>
        <v/>
      </c>
      <c r="AJ54">
        <f>IF(OR(AB54="",D54="",D54=0),"",AB54/D54)</f>
        <v/>
      </c>
    </row>
    <row r="55">
      <c r="A55" t="inlineStr">
        <is>
          <t>2026-07-17</t>
        </is>
      </c>
      <c r="B55" t="n">
        <v>0.14822998</v>
      </c>
      <c r="C55">
        <f>IFERROR(B55/B54-1,"")</f>
        <v/>
      </c>
      <c r="D55" t="n">
        <v>1900000</v>
      </c>
      <c r="E55" t="n">
        <v>52.07</v>
      </c>
      <c r="F55" t="n">
        <v>0.000134</v>
      </c>
      <c r="G55" t="n">
        <v>5e-05</v>
      </c>
      <c r="H55" t="n">
        <v>0.00022702</v>
      </c>
      <c r="I55" t="n">
        <v>6</v>
      </c>
      <c r="L55" t="n">
        <v>3800000</v>
      </c>
      <c r="O55" t="n">
        <v>1.6237</v>
      </c>
      <c r="P55" t="n">
        <v>1.7647</v>
      </c>
      <c r="Q55" t="n">
        <v>2.4364</v>
      </c>
      <c r="R55">
        <f>IFERROR(O55/P55,"")</f>
        <v/>
      </c>
      <c r="S55">
        <f>IFERROR(AVERAGE(R53:R55),"")</f>
        <v/>
      </c>
      <c r="T55">
        <f>IFERROR(Q55/Q50,"")</f>
        <v/>
      </c>
      <c r="U55">
        <f>IFERROR(O55/O52-1,"")</f>
        <v/>
      </c>
      <c r="V55">
        <f>IFERROR(P55/P52-1,"")</f>
        <v/>
      </c>
      <c r="AJ55">
        <f>IF(OR(AB55="",D55="",D55=0),"",AB55/D55)</f>
        <v/>
      </c>
    </row>
    <row r="56">
      <c r="A56" t="inlineStr">
        <is>
          <t>2026-07-18</t>
        </is>
      </c>
      <c r="B56" t="n">
        <v>0.15647116</v>
      </c>
      <c r="C56">
        <f>IFERROR(B56/B55-1,"")</f>
        <v/>
      </c>
      <c r="D56" t="n">
        <v>5300000</v>
      </c>
      <c r="E56" t="n">
        <v>47.46</v>
      </c>
      <c r="F56" t="n">
        <v>0.00010645333</v>
      </c>
      <c r="G56" t="n">
        <v>5e-05</v>
      </c>
      <c r="H56" t="n">
        <v>0.0002091</v>
      </c>
      <c r="I56" t="n">
        <v>6</v>
      </c>
      <c r="L56" t="n">
        <v>4100000</v>
      </c>
      <c r="O56" t="n">
        <v>1.6376</v>
      </c>
      <c r="P56" t="n">
        <v>1.6645</v>
      </c>
      <c r="Q56" t="n">
        <v>2.2478</v>
      </c>
      <c r="R56">
        <f>IFERROR(O56/P56,"")</f>
        <v/>
      </c>
      <c r="S56">
        <f>IFERROR(AVERAGE(R54:R56),"")</f>
        <v/>
      </c>
      <c r="T56">
        <f>IFERROR(Q56/Q51,"")</f>
        <v/>
      </c>
      <c r="U56">
        <f>IFERROR(O56/O53-1,"")</f>
        <v/>
      </c>
      <c r="V56">
        <f>IFERROR(P56/P53-1,"")</f>
        <v/>
      </c>
      <c r="AJ56">
        <f>IF(OR(AB56="",D56="",D56=0),"",AB56/D56)</f>
        <v/>
      </c>
    </row>
    <row r="57">
      <c r="A57" t="inlineStr">
        <is>
          <t>2026-07-19</t>
        </is>
      </c>
      <c r="B57" t="n">
        <v>0.15671909</v>
      </c>
      <c r="C57">
        <f>IFERROR(B57/B56-1,"")</f>
        <v/>
      </c>
      <c r="D57" t="n">
        <v>6000000</v>
      </c>
      <c r="E57" t="n">
        <v>45.06</v>
      </c>
      <c r="F57" t="n">
        <v>7.808e-05</v>
      </c>
      <c r="G57" t="n">
        <v>5e-05</v>
      </c>
      <c r="H57" t="n">
        <v>0.00016622</v>
      </c>
      <c r="I57" t="n">
        <v>6</v>
      </c>
      <c r="L57" t="n">
        <v>4700000</v>
      </c>
      <c r="O57" t="n">
        <v>1.6638</v>
      </c>
      <c r="P57" t="n">
        <v>1.3294</v>
      </c>
      <c r="Q57" t="n">
        <v>1.7027</v>
      </c>
      <c r="R57">
        <f>IFERROR(O57/P57,"")</f>
        <v/>
      </c>
      <c r="S57">
        <f>IFERROR(AVERAGE(R55:R57),"")</f>
        <v/>
      </c>
      <c r="T57">
        <f>IFERROR(Q57/Q52,"")</f>
        <v/>
      </c>
      <c r="U57">
        <f>IFERROR(O57/O54-1,"")</f>
        <v/>
      </c>
      <c r="V57">
        <f>IFERROR(P57/P54-1,"")</f>
        <v/>
      </c>
      <c r="AJ57">
        <f>IF(OR(AB57="",D57="",D57=0),"",AB57/D57)</f>
        <v/>
      </c>
    </row>
    <row r="58">
      <c r="A58" t="inlineStr">
        <is>
          <t>2026-07-20</t>
        </is>
      </c>
      <c r="B58" t="n">
        <v>0.15163263</v>
      </c>
      <c r="C58">
        <f>IFERROR(B58/B57-1,"")</f>
        <v/>
      </c>
      <c r="D58" t="n">
        <v>2300000</v>
      </c>
      <c r="E58" t="n">
        <v>47.77</v>
      </c>
      <c r="F58" t="n">
        <v>5e-05</v>
      </c>
      <c r="G58" t="n">
        <v>5e-05</v>
      </c>
      <c r="H58" t="n">
        <v>5e-05</v>
      </c>
      <c r="I58" t="n">
        <v>6</v>
      </c>
      <c r="L58" t="n">
        <v>4100000</v>
      </c>
      <c r="O58" t="n">
        <v>1.6795</v>
      </c>
      <c r="P58" t="n">
        <v>1.3524</v>
      </c>
      <c r="Q58" t="n">
        <v>1.6624</v>
      </c>
      <c r="R58">
        <f>IFERROR(O58/P58,"")</f>
        <v/>
      </c>
      <c r="S58">
        <f>IFERROR(AVERAGE(R56:R58),"")</f>
        <v/>
      </c>
      <c r="T58">
        <f>IFERROR(Q58/Q53,"")</f>
        <v/>
      </c>
      <c r="U58">
        <f>IFERROR(O58/O55-1,"")</f>
        <v/>
      </c>
      <c r="V58">
        <f>IFERROR(P58/P55-1,"")</f>
        <v/>
      </c>
      <c r="AJ58">
        <f>IF(OR(AB58="",D58="",D58=0),"",AB58/D58)</f>
        <v/>
      </c>
    </row>
    <row r="59">
      <c r="A59" t="inlineStr">
        <is>
          <t>2026-07-21</t>
        </is>
      </c>
      <c r="B59" t="n">
        <v>0.1533419</v>
      </c>
      <c r="C59">
        <f>IFERROR(B59/B58-1,"")</f>
        <v/>
      </c>
      <c r="D59" t="n">
        <v>3000000</v>
      </c>
      <c r="E59" t="n">
        <v>53.15</v>
      </c>
      <c r="F59" t="n">
        <v>5e-05</v>
      </c>
      <c r="G59" t="n">
        <v>5e-05</v>
      </c>
      <c r="H59" t="n">
        <v>5e-05</v>
      </c>
      <c r="I59" t="n">
        <v>6</v>
      </c>
      <c r="L59" t="n">
        <v>4000000</v>
      </c>
      <c r="O59" t="n">
        <v>1.6704</v>
      </c>
      <c r="P59" t="n">
        <v>1.5634</v>
      </c>
      <c r="Q59" t="n">
        <v>2.0741</v>
      </c>
      <c r="R59">
        <f>IFERROR(O59/P59,"")</f>
        <v/>
      </c>
      <c r="S59">
        <f>IFERROR(AVERAGE(R57:R59),"")</f>
        <v/>
      </c>
      <c r="T59">
        <f>IFERROR(Q59/Q54,"")</f>
        <v/>
      </c>
      <c r="U59">
        <f>IFERROR(O59/O56-1,"")</f>
        <v/>
      </c>
      <c r="V59">
        <f>IFERROR(P59/P56-1,"")</f>
        <v/>
      </c>
      <c r="AJ59">
        <f>IF(OR(AB59="",D59="",D59=0),"",AB59/D59)</f>
        <v/>
      </c>
    </row>
    <row r="60">
      <c r="A60" t="inlineStr">
        <is>
          <t>2026-07-22</t>
        </is>
      </c>
      <c r="B60" t="n">
        <v>0.15620552</v>
      </c>
      <c r="C60">
        <f>IFERROR(B60/B59-1,"")</f>
        <v/>
      </c>
      <c r="D60" t="n">
        <v>5300000</v>
      </c>
      <c r="E60" t="n">
        <v>47.14</v>
      </c>
      <c r="F60" t="n">
        <v>5.7938333e-05</v>
      </c>
      <c r="G60" t="n">
        <v>5e-05</v>
      </c>
      <c r="H60" t="n">
        <v>9.763e-05</v>
      </c>
      <c r="I60" t="n">
        <v>6</v>
      </c>
      <c r="L60" t="n">
        <v>4100000</v>
      </c>
      <c r="O60" t="n">
        <v>1.6561</v>
      </c>
      <c r="P60" t="n">
        <v>1.5826</v>
      </c>
      <c r="Q60" t="n">
        <v>2.0779</v>
      </c>
      <c r="R60">
        <f>IFERROR(O60/P60,"")</f>
        <v/>
      </c>
      <c r="S60">
        <f>IFERROR(AVERAGE(R58:R60),"")</f>
        <v/>
      </c>
      <c r="T60">
        <f>IFERROR(Q60/Q55,"")</f>
        <v/>
      </c>
      <c r="U60">
        <f>IFERROR(O60/O57-1,"")</f>
        <v/>
      </c>
      <c r="V60">
        <f>IFERROR(P60/P57-1,"")</f>
        <v/>
      </c>
      <c r="AJ60">
        <f>IF(OR(AB60="",D60="",D60=0),"",AB60/D60)</f>
        <v/>
      </c>
    </row>
    <row r="61">
      <c r="A61" t="inlineStr">
        <is>
          <t>2026-07-23</t>
        </is>
      </c>
      <c r="B61" t="n">
        <v>0.14215853</v>
      </c>
      <c r="C61">
        <f>IFERROR(B61/B60-1,"")</f>
        <v/>
      </c>
      <c r="D61" t="n">
        <v>6500000</v>
      </c>
      <c r="E61" t="n">
        <v>49.39</v>
      </c>
      <c r="F61" t="n">
        <v>5e-05</v>
      </c>
      <c r="G61" t="n">
        <v>5e-05</v>
      </c>
      <c r="H61" t="n">
        <v>5e-05</v>
      </c>
      <c r="I61" t="n">
        <v>6</v>
      </c>
      <c r="L61" t="n">
        <v>3800000</v>
      </c>
      <c r="O61" t="n">
        <v>1.6705</v>
      </c>
      <c r="P61" t="n">
        <v>1.4015</v>
      </c>
      <c r="Q61" t="n">
        <v>1.7956</v>
      </c>
      <c r="R61">
        <f>IFERROR(O61/P61,"")</f>
        <v/>
      </c>
      <c r="S61">
        <f>IFERROR(AVERAGE(R59:R61),"")</f>
        <v/>
      </c>
      <c r="T61">
        <f>IFERROR(Q61/Q56,"")</f>
        <v/>
      </c>
      <c r="U61">
        <f>IFERROR(O61/O58-1,"")</f>
        <v/>
      </c>
      <c r="V61">
        <f>IFERROR(P61/P58-1,"")</f>
        <v/>
      </c>
      <c r="AJ61">
        <f>IF(OR(AB61="",D61="",D61=0),"",AB61/D61)</f>
        <v/>
      </c>
    </row>
    <row r="62">
      <c r="A62" s="22" t="inlineStr">
        <is>
          <t>2026-07-24</t>
        </is>
      </c>
      <c r="B62" s="22" t="n"/>
      <c r="C62" s="22">
        <f>IFERROR(B62/B61-1,"")</f>
        <v/>
      </c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>
        <f>IFERROR(O62/P62,"")</f>
        <v/>
      </c>
      <c r="S62" s="22">
        <f>IFERROR(AVERAGE(R60:R62),"")</f>
        <v/>
      </c>
      <c r="T62" s="22">
        <f>IFERROR(Q62/Q57,"")</f>
        <v/>
      </c>
      <c r="U62" s="22">
        <f>IFERROR(O62/O59-1,"")</f>
        <v/>
      </c>
      <c r="V62" s="22">
        <f>IFERROR(P62/P59-1,"")</f>
        <v/>
      </c>
      <c r="W62" s="22" t="n"/>
      <c r="X62" s="22" t="n"/>
      <c r="Y62" s="22" t="n"/>
      <c r="Z62" s="22" t="n">
        <v>1</v>
      </c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>
        <f>IF(OR(AB62="",D62="",D62=0),"",AB62/D62)</f>
        <v/>
      </c>
      <c r="AK62" s="22" t="n"/>
      <c r="AL62" s="22" t="n"/>
      <c r="AM62" s="22" t="n"/>
      <c r="AN62" s="22" t="inlineStr">
        <is>
          <t>MISSING trong export — an pipeline</t>
        </is>
      </c>
      <c r="AO62" s="22" t="n"/>
    </row>
    <row r="63">
      <c r="A63" s="22" t="inlineStr">
        <is>
          <t>2026-07-25</t>
        </is>
      </c>
      <c r="B63" s="22" t="n"/>
      <c r="C63" s="22">
        <f>IFERROR(B63/B62-1,"")</f>
        <v/>
      </c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>
        <f>IFERROR(O63/P63,"")</f>
        <v/>
      </c>
      <c r="S63" s="22">
        <f>IFERROR(AVERAGE(R61:R63),"")</f>
        <v/>
      </c>
      <c r="T63" s="22">
        <f>IFERROR(Q63/Q58,"")</f>
        <v/>
      </c>
      <c r="U63" s="22">
        <f>IFERROR(O63/O60-1,"")</f>
        <v/>
      </c>
      <c r="V63" s="22">
        <f>IFERROR(P63/P60-1,"")</f>
        <v/>
      </c>
      <c r="W63" s="22" t="n"/>
      <c r="X63" s="22" t="n"/>
      <c r="Y63" s="22" t="n"/>
      <c r="Z63" s="22" t="n">
        <v>1</v>
      </c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>
        <f>IF(OR(AB63="",D63="",D63=0),"",AB63/D63)</f>
        <v/>
      </c>
      <c r="AK63" s="22" t="n"/>
      <c r="AL63" s="22" t="n"/>
      <c r="AM63" s="22" t="n"/>
      <c r="AN63" s="22" t="inlineStr">
        <is>
          <t>MISSING</t>
        </is>
      </c>
      <c r="AO63" s="22" t="n"/>
    </row>
    <row r="64">
      <c r="A64" s="22" t="inlineStr">
        <is>
          <t>2026-07-26</t>
        </is>
      </c>
      <c r="B64" s="22" t="n"/>
      <c r="C64" s="22">
        <f>IFERROR(B64/B63-1,"")</f>
        <v/>
      </c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>
        <f>IFERROR(O64/P64,"")</f>
        <v/>
      </c>
      <c r="S64" s="22">
        <f>IFERROR(AVERAGE(R62:R64),"")</f>
        <v/>
      </c>
      <c r="T64" s="22">
        <f>IFERROR(Q64/Q59,"")</f>
        <v/>
      </c>
      <c r="U64" s="22">
        <f>IFERROR(O64/O61-1,"")</f>
        <v/>
      </c>
      <c r="V64" s="22">
        <f>IFERROR(P64/P61-1,"")</f>
        <v/>
      </c>
      <c r="W64" s="22" t="n"/>
      <c r="X64" s="22" t="n"/>
      <c r="Y64" s="22" t="n"/>
      <c r="Z64" s="22" t="n">
        <v>1</v>
      </c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>
        <f>IF(OR(AB64="",D64="",D64=0),"",AB64/D64)</f>
        <v/>
      </c>
      <c r="AK64" s="22" t="n"/>
      <c r="AL64" s="22" t="n"/>
      <c r="AM64" s="22" t="n"/>
      <c r="AN64" s="22" t="inlineStr">
        <is>
          <t>MISSING</t>
        </is>
      </c>
      <c r="AO64" s="22" t="n"/>
    </row>
    <row r="65">
      <c r="A65" t="inlineStr">
        <is>
          <t>2026-07-27</t>
        </is>
      </c>
      <c r="B65" t="n">
        <v>0.15158</v>
      </c>
      <c r="C65">
        <f>IFERROR(B65/B64-1,"")</f>
        <v/>
      </c>
      <c r="R65">
        <f>IFERROR(O65/P65,"")</f>
        <v/>
      </c>
      <c r="S65">
        <f>IFERROR(AVERAGE(R63:R65),"")</f>
        <v/>
      </c>
      <c r="T65">
        <f>IFERROR(Q65/Q60,"")</f>
        <v/>
      </c>
      <c r="U65">
        <f>IFERROR(O65/O62-1,"")</f>
        <v/>
      </c>
      <c r="V65">
        <f>IFERROR(P65/P62-1,"")</f>
        <v/>
      </c>
      <c r="AA65" t="inlineStr">
        <is>
          <t>gate</t>
        </is>
      </c>
      <c r="AB65" t="n">
        <v>447807</v>
      </c>
      <c r="AJ65">
        <f>IF(OR(AB65="",D65="",D65=0),"",AB65/D65)</f>
        <v/>
      </c>
      <c r="AN65" t="inlineStr">
        <is>
          <t>px -3.3% tu dinh 30d</t>
        </is>
      </c>
    </row>
    <row r="66">
      <c r="A66" t="inlineStr">
        <is>
          <t>2026-07-28</t>
        </is>
      </c>
      <c r="B66" t="n">
        <v>0.1468100437528482</v>
      </c>
      <c r="C66">
        <f>IFERROR(B66/B65-1,"")</f>
        <v/>
      </c>
      <c r="D66" t="n">
        <v>604348.24303</v>
      </c>
      <c r="E66" t="n">
        <v>50.852706</v>
      </c>
      <c r="F66" t="n">
        <v>7.913499999999999e-05</v>
      </c>
      <c r="G66" t="n">
        <v>5e-05</v>
      </c>
      <c r="H66" t="n">
        <v>0.00016835</v>
      </c>
      <c r="I66" t="n">
        <v>6</v>
      </c>
      <c r="L66" t="n">
        <v>3685662.66548151</v>
      </c>
      <c r="O66" t="n">
        <v>1.6742</v>
      </c>
      <c r="P66" t="n">
        <v>1.5214</v>
      </c>
      <c r="Q66" t="n">
        <v>1.9214</v>
      </c>
      <c r="R66">
        <f>IFERROR(O66/P66,"")</f>
        <v/>
      </c>
      <c r="S66">
        <f>IFERROR(AVERAGE(R64:R66),"")</f>
        <v/>
      </c>
      <c r="T66">
        <f>IFERROR(Q66/Q61,"")</f>
        <v/>
      </c>
      <c r="U66">
        <f>IFERROR(O66/O63-1,"")</f>
        <v/>
      </c>
      <c r="V66">
        <f>IFERROR(P66/P63-1,"")</f>
        <v/>
      </c>
      <c r="AJ66">
        <f>IF(OR(AB66="",D66="",D66=0),"",AB66/D66)</f>
        <v/>
      </c>
    </row>
    <row r="67">
      <c r="A67" t="inlineStr">
        <is>
          <t>2026-07-29</t>
        </is>
      </c>
      <c r="B67" t="n">
        <v>0.1468496633042929</v>
      </c>
      <c r="C67">
        <f>IFERROR(B67/B66-1,"")</f>
        <v/>
      </c>
      <c r="D67" t="n">
        <v>667504.9977000001</v>
      </c>
      <c r="E67" t="n">
        <v>48.175788</v>
      </c>
      <c r="F67" t="n">
        <v>0.0001180016666666</v>
      </c>
      <c r="G67" t="n">
        <v>5e-05</v>
      </c>
      <c r="H67" t="n">
        <v>0.00032823</v>
      </c>
      <c r="I67" t="n">
        <v>6</v>
      </c>
      <c r="L67" t="n">
        <v>3782263.22906</v>
      </c>
      <c r="O67" t="n">
        <v>1.6609</v>
      </c>
      <c r="P67" t="n">
        <v>1.49</v>
      </c>
      <c r="Q67" t="n">
        <v>1.9438</v>
      </c>
      <c r="R67">
        <f>IFERROR(O67/P67,"")</f>
        <v/>
      </c>
      <c r="S67">
        <f>IFERROR(AVERAGE(R65:R67),"")</f>
        <v/>
      </c>
      <c r="T67">
        <f>IFERROR(Q67/Q62,"")</f>
        <v/>
      </c>
      <c r="U67">
        <f>IFERROR(O67/O64-1,"")</f>
        <v/>
      </c>
      <c r="V67">
        <f>IFERROR(P67/P64-1,"")</f>
        <v/>
      </c>
      <c r="AJ67">
        <f>IF(OR(AB67="",D67="",D67=0),"",AB67/D67)</f>
        <v/>
      </c>
    </row>
    <row r="68">
      <c r="A68" t="inlineStr">
        <is>
          <t>2026-07-30</t>
        </is>
      </c>
      <c r="B68" t="n">
        <v>0.1473126705492932</v>
      </c>
      <c r="C68">
        <f>IFERROR(B68/B67-1,"")</f>
        <v/>
      </c>
      <c r="D68" t="n">
        <v>670325.09431</v>
      </c>
      <c r="E68" t="n">
        <v>49.174079</v>
      </c>
      <c r="F68" t="n">
        <v>5e-05</v>
      </c>
      <c r="G68" t="n">
        <v>5e-05</v>
      </c>
      <c r="H68" t="n">
        <v>5e-05</v>
      </c>
      <c r="I68" t="n">
        <v>6</v>
      </c>
      <c r="L68" t="n">
        <v>3799993.1949</v>
      </c>
      <c r="O68" t="n">
        <v>1.6578</v>
      </c>
      <c r="P68" t="n">
        <v>1.3419</v>
      </c>
      <c r="Q68" t="n">
        <v>1.7525</v>
      </c>
      <c r="R68">
        <f>IFERROR(O68/P68,"")</f>
        <v/>
      </c>
      <c r="S68">
        <f>IFERROR(AVERAGE(R66:R68),"")</f>
        <v/>
      </c>
      <c r="T68">
        <f>IFERROR(Q68/Q63,"")</f>
        <v/>
      </c>
      <c r="U68">
        <f>IFERROR(O68/O65-1,"")</f>
        <v/>
      </c>
      <c r="V68">
        <f>IFERROR(P68/P65-1,"")</f>
        <v/>
      </c>
      <c r="AJ68">
        <f>IF(OR(AB68="",D68="",D68=0),"",AB68/D68)</f>
        <v/>
      </c>
    </row>
    <row r="69">
      <c r="A69" t="inlineStr">
        <is>
          <t>2026-07-31</t>
        </is>
      </c>
      <c r="B69" t="n">
        <v>0.1503439699877407</v>
      </c>
      <c r="C69">
        <f>IFERROR(B69/B68-1,"")</f>
        <v/>
      </c>
      <c r="D69" t="n">
        <v>618332.5749499999</v>
      </c>
      <c r="E69" t="n">
        <v>46.438136</v>
      </c>
      <c r="F69" t="n">
        <v>9.5085e-05</v>
      </c>
      <c r="G69" t="n">
        <v>5e-05</v>
      </c>
      <c r="H69" t="n">
        <v>0.00015113</v>
      </c>
      <c r="I69" t="n">
        <v>6</v>
      </c>
      <c r="L69" t="n">
        <v>3840661.32366</v>
      </c>
      <c r="O69" t="n">
        <v>1.6509</v>
      </c>
      <c r="P69" t="n">
        <v>1.3998</v>
      </c>
      <c r="Q69" t="n">
        <v>1.8401</v>
      </c>
      <c r="R69">
        <f>IFERROR(O69/P69,"")</f>
        <v/>
      </c>
      <c r="S69">
        <f>IFERROR(AVERAGE(R67:R69),"")</f>
        <v/>
      </c>
      <c r="T69">
        <f>IFERROR(Q69/Q64,"")</f>
        <v/>
      </c>
      <c r="U69">
        <f>IFERROR(O69/O66-1,"")</f>
        <v/>
      </c>
      <c r="V69">
        <f>IFERROR(P69/P66-1,"")</f>
        <v/>
      </c>
      <c r="AJ69">
        <f>IF(OR(AB69="",D69="",D69=0),"",AB69/D69)</f>
        <v/>
      </c>
    </row>
    <row r="70">
      <c r="A70" t="inlineStr">
        <is>
          <t>2026-08-05</t>
        </is>
      </c>
      <c r="B70" t="n">
        <v>0.1437135231999385</v>
      </c>
      <c r="C70">
        <f>IFERROR(B70/B69-1,"")</f>
        <v/>
      </c>
      <c r="D70" t="n">
        <v>591029.62469</v>
      </c>
      <c r="E70" t="n">
        <v>49.315763</v>
      </c>
      <c r="F70" t="n">
        <v>0.0004032633333333334</v>
      </c>
      <c r="G70" t="n">
        <v>0.00032365</v>
      </c>
      <c r="H70" t="n">
        <v>0.00059693</v>
      </c>
      <c r="I70" t="n">
        <v>6</v>
      </c>
      <c r="L70" t="n">
        <v>3623386.30443</v>
      </c>
      <c r="O70" t="n">
        <v>1.7023</v>
      </c>
      <c r="P70" t="n">
        <v>1.3613</v>
      </c>
      <c r="Q70" t="n">
        <v>1.7196</v>
      </c>
      <c r="R70">
        <f>IFERROR(O70/P70,"")</f>
        <v/>
      </c>
      <c r="S70">
        <f>IFERROR(AVERAGE(R68:R70),"")</f>
        <v/>
      </c>
      <c r="T70">
        <f>IFERROR(Q70/Q65,"")</f>
        <v/>
      </c>
      <c r="U70">
        <f>IFERROR(O70/O67-1,"")</f>
        <v/>
      </c>
      <c r="V70">
        <f>IFERROR(P70/P67-1,"")</f>
        <v/>
      </c>
      <c r="AJ70">
        <f>IF(OR(AB70="",D70="",D70=0),"",AB70/D70)</f>
        <v/>
      </c>
    </row>
    <row r="71">
      <c r="A71" t="inlineStr">
        <is>
          <t>2026-08-13</t>
        </is>
      </c>
      <c r="B71" t="n">
        <v>0.2339051477566513</v>
      </c>
      <c r="C71">
        <f>IFERROR(B71/B70-1,"")</f>
        <v/>
      </c>
      <c r="D71" t="n">
        <v>122546825.52265</v>
      </c>
      <c r="E71" t="n">
        <v>52.04067</v>
      </c>
      <c r="F71" t="n">
        <v>9.830166666666666e-05</v>
      </c>
      <c r="G71" t="n">
        <v>5e-05</v>
      </c>
      <c r="H71" t="n">
        <v>0.00018406</v>
      </c>
      <c r="I71" t="n">
        <v>6</v>
      </c>
      <c r="L71" t="n">
        <v>10221186.1648</v>
      </c>
      <c r="O71" t="n">
        <v>1.0853</v>
      </c>
      <c r="P71" t="n">
        <v>0.4535</v>
      </c>
      <c r="Q71" t="n">
        <v>0.5608</v>
      </c>
      <c r="R71">
        <f>IFERROR(O71/P71,"")</f>
        <v/>
      </c>
      <c r="S71">
        <f>IFERROR(AVERAGE(R69:R71),"")</f>
        <v/>
      </c>
      <c r="T71">
        <f>IFERROR(Q71/Q66,"")</f>
        <v/>
      </c>
      <c r="U71">
        <f>IFERROR(O71/O68-1,"")</f>
        <v/>
      </c>
      <c r="V71">
        <f>IFERROR(P71/P68-1,"")</f>
        <v/>
      </c>
      <c r="AJ71">
        <f>IF(OR(AB71="",D71="",D71=0),"",AB71/D71)</f>
        <v/>
      </c>
    </row>
    <row r="72">
      <c r="A72" t="inlineStr">
        <is>
          <t>2026-08-10</t>
        </is>
      </c>
      <c r="B72" t="n">
        <v>0.1292967761707737</v>
      </c>
      <c r="C72">
        <f>IFERROR(B72/B71-1,"")</f>
        <v/>
      </c>
      <c r="D72" t="n">
        <v>1529395.57982</v>
      </c>
      <c r="E72" t="n">
        <v>50.017494</v>
      </c>
      <c r="F72" t="n">
        <v>0.0001185783333333</v>
      </c>
      <c r="G72" t="n">
        <v>5e-05</v>
      </c>
      <c r="H72" t="n">
        <v>0.00025167</v>
      </c>
      <c r="I72" t="n">
        <v>6</v>
      </c>
      <c r="L72" t="n">
        <v>3195085.0118</v>
      </c>
      <c r="O72" t="n">
        <v>1.802</v>
      </c>
      <c r="P72" t="n">
        <v>1.4143</v>
      </c>
      <c r="Q72" t="n">
        <v>1.6219</v>
      </c>
      <c r="R72">
        <f>IFERROR(O72/P72,"")</f>
        <v/>
      </c>
      <c r="S72">
        <f>IFERROR(AVERAGE(R70:R72),"")</f>
        <v/>
      </c>
      <c r="T72">
        <f>IFERROR(Q72/Q67,"")</f>
        <v/>
      </c>
      <c r="U72">
        <f>IFERROR(O72/O69-1,"")</f>
        <v/>
      </c>
      <c r="V72">
        <f>IFERROR(P72/P69-1,"")</f>
        <v/>
      </c>
      <c r="AJ72">
        <f>IF(OR(AB72="",D72="",D72=0),"",AB72/D72)</f>
        <v/>
      </c>
    </row>
    <row r="73">
      <c r="A73" t="inlineStr">
        <is>
          <t>2026-08-11</t>
        </is>
      </c>
      <c r="B73" t="n">
        <v>0.1331028319260819</v>
      </c>
      <c r="C73">
        <f>IFERROR(B73/B72-1,"")</f>
        <v/>
      </c>
      <c r="D73" t="n">
        <v>2068620.98995</v>
      </c>
      <c r="E73" t="n">
        <v>44.726951</v>
      </c>
      <c r="F73" t="n">
        <v>5e-05</v>
      </c>
      <c r="G73" t="n">
        <v>5e-05</v>
      </c>
      <c r="H73" t="n">
        <v>5e-05</v>
      </c>
      <c r="I73" t="n">
        <v>6</v>
      </c>
      <c r="L73" t="n">
        <v>3492937.69815564</v>
      </c>
      <c r="O73" t="n">
        <v>1.8062</v>
      </c>
      <c r="P73" t="n">
        <v>1.3878</v>
      </c>
      <c r="Q73" t="n">
        <v>1.6504</v>
      </c>
      <c r="R73">
        <f>IFERROR(O73/P73,"")</f>
        <v/>
      </c>
      <c r="S73">
        <f>IFERROR(AVERAGE(R71:R73),"")</f>
        <v/>
      </c>
      <c r="T73">
        <f>IFERROR(Q73/Q68,"")</f>
        <v/>
      </c>
      <c r="U73">
        <f>IFERROR(O73/O70-1,"")</f>
        <v/>
      </c>
      <c r="V73">
        <f>IFERROR(P73/P70-1,"")</f>
        <v/>
      </c>
      <c r="AJ73">
        <f>IF(OR(AB73="",D73="",D73=0),"",AB73/D73)</f>
        <v/>
      </c>
    </row>
    <row r="74">
      <c r="A74" t="inlineStr">
        <is>
          <t>2026-08-12</t>
        </is>
      </c>
      <c r="B74" t="n">
        <v>0.2070661289928201</v>
      </c>
      <c r="C74">
        <f>IFERROR(B74/B73-1,"")</f>
        <v/>
      </c>
      <c r="D74" t="n">
        <v>125129783.66055</v>
      </c>
      <c r="E74" t="n">
        <v>50.970779</v>
      </c>
      <c r="F74" t="n">
        <v>0.0004371216666666</v>
      </c>
      <c r="G74" t="n">
        <v>5e-05</v>
      </c>
      <c r="H74" t="n">
        <v>0.00118757</v>
      </c>
      <c r="I74" t="n">
        <v>6</v>
      </c>
      <c r="L74" t="n">
        <v>3256176.58955</v>
      </c>
      <c r="O74" t="n">
        <v>1.8154</v>
      </c>
      <c r="P74" t="n">
        <v>1.5575</v>
      </c>
      <c r="Q74" t="n">
        <v>1.8539</v>
      </c>
      <c r="R74">
        <f>IFERROR(O74/P74,"")</f>
        <v/>
      </c>
      <c r="S74">
        <f>IFERROR(AVERAGE(R72:R74),"")</f>
        <v/>
      </c>
      <c r="T74">
        <f>IFERROR(Q74/Q69,"")</f>
        <v/>
      </c>
      <c r="U74">
        <f>IFERROR(O74/O71-1,"")</f>
        <v/>
      </c>
      <c r="V74">
        <f>IFERROR(P74/P71-1,"")</f>
        <v/>
      </c>
      <c r="AJ74">
        <f>IF(OR(AB74="",D74="",D74=0),"",AB74/D74)</f>
        <v/>
      </c>
    </row>
    <row r="75">
      <c r="A75" t="inlineStr">
        <is>
          <t>2026-08-14</t>
        </is>
      </c>
      <c r="B75" t="n">
        <v>0.2438005142897722</v>
      </c>
      <c r="C75">
        <f>IFERROR(B75/B74-1,"")</f>
        <v/>
      </c>
      <c r="D75" t="n">
        <v>54827369.99767</v>
      </c>
      <c r="E75" t="n">
        <v>50.317965</v>
      </c>
      <c r="F75" t="n">
        <v>7.348166666666666e-05</v>
      </c>
      <c r="G75" t="n">
        <v>5e-05</v>
      </c>
      <c r="H75" t="n">
        <v>0.00015446</v>
      </c>
      <c r="I75" t="n">
        <v>6</v>
      </c>
      <c r="L75" t="n">
        <v>14089555.17504</v>
      </c>
      <c r="O75" t="n">
        <v>1.3096</v>
      </c>
      <c r="P75" t="n">
        <v>0.4554</v>
      </c>
      <c r="Q75" t="n">
        <v>0.5172</v>
      </c>
      <c r="R75">
        <f>IFERROR(O75/P75,"")</f>
        <v/>
      </c>
      <c r="S75">
        <f>IFERROR(AVERAGE(R73:R75),"")</f>
        <v/>
      </c>
      <c r="T75">
        <f>IFERROR(Q75/Q70,"")</f>
        <v/>
      </c>
      <c r="U75">
        <f>IFERROR(O75/O72-1,"")</f>
        <v/>
      </c>
      <c r="V75">
        <f>IFERROR(P75/P72-1,"")</f>
        <v/>
      </c>
      <c r="AJ75">
        <f>IF(OR(AB75="",D75="",D75=0),"",AB75/D75)</f>
        <v/>
      </c>
    </row>
    <row r="76">
      <c r="A76" t="inlineStr">
        <is>
          <t>2026-08-15</t>
        </is>
      </c>
      <c r="B76" t="n">
        <v>0.2262740891121569</v>
      </c>
      <c r="C76">
        <f>IFERROR(B76/B75-1,"")</f>
        <v/>
      </c>
      <c r="D76" t="n">
        <v>31247164.65937</v>
      </c>
      <c r="E76" t="n">
        <v>52.317376</v>
      </c>
      <c r="F76" t="n">
        <v>0.0001043333333333</v>
      </c>
      <c r="G76" t="n">
        <v>5e-05</v>
      </c>
      <c r="H76" t="n">
        <v>0.00022972</v>
      </c>
      <c r="I76" t="n">
        <v>6</v>
      </c>
      <c r="L76" t="n">
        <v>9209227.304306259</v>
      </c>
      <c r="O76" t="n">
        <v>1.4482</v>
      </c>
      <c r="P76" t="n">
        <v>0.4712</v>
      </c>
      <c r="Q76" t="n">
        <v>0.5312</v>
      </c>
      <c r="R76">
        <f>IFERROR(O76/P76,"")</f>
        <v/>
      </c>
      <c r="S76">
        <f>IFERROR(AVERAGE(R74:R76),"")</f>
        <v/>
      </c>
      <c r="T76">
        <f>IFERROR(Q76/Q71,"")</f>
        <v/>
      </c>
      <c r="U76">
        <f>IFERROR(O76/O73-1,"")</f>
        <v/>
      </c>
      <c r="V76">
        <f>IFERROR(P76/P73-1,"")</f>
        <v/>
      </c>
      <c r="AJ76">
        <f>IF(OR(AB76="",D76="",D76=0),"",AB76/D76)</f>
        <v/>
      </c>
    </row>
    <row r="77">
      <c r="A77" t="inlineStr">
        <is>
          <t>2026-08-16</t>
        </is>
      </c>
      <c r="B77" t="n">
        <v>0.1980722432234521</v>
      </c>
      <c r="C77">
        <f>IFERROR(B77/B76-1,"")</f>
        <v/>
      </c>
      <c r="D77" t="n">
        <v>14507187.62902</v>
      </c>
      <c r="E77" t="n">
        <v>51.632406</v>
      </c>
      <c r="F77" t="n">
        <v>8.833666666666666e-05</v>
      </c>
      <c r="G77" t="n">
        <v>5e-05</v>
      </c>
      <c r="H77" t="n">
        <v>0.00028002</v>
      </c>
      <c r="I77" t="n">
        <v>6</v>
      </c>
      <c r="L77" t="n">
        <v>9081236.575404931</v>
      </c>
      <c r="O77" t="n">
        <v>1.2518</v>
      </c>
      <c r="P77" t="n">
        <v>0.5701000000000001</v>
      </c>
      <c r="Q77" t="n">
        <v>0.6455</v>
      </c>
      <c r="R77">
        <f>IFERROR(O77/P77,"")</f>
        <v/>
      </c>
      <c r="S77">
        <f>IFERROR(AVERAGE(R75:R77),"")</f>
        <v/>
      </c>
      <c r="T77">
        <f>IFERROR(Q77/Q72,"")</f>
        <v/>
      </c>
      <c r="U77">
        <f>IFERROR(O77/O74-1,"")</f>
        <v/>
      </c>
      <c r="V77">
        <f>IFERROR(P77/P74-1,"")</f>
        <v/>
      </c>
      <c r="AJ77">
        <f>IF(OR(AB77="",D77="",D77=0),"",AB77/D77)</f>
        <v/>
      </c>
    </row>
  </sheetData>
  <mergeCells count="4">
    <mergeCell ref="A1:Z1"/>
    <mergeCell ref="AA1:AJ1"/>
    <mergeCell ref="AK1:AM1"/>
    <mergeCell ref="AN1:AO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style="24" min="1" max="1"/>
    <col width="60" customWidth="1" style="24" min="2" max="2"/>
    <col width="18" customWidth="1" style="24" min="3" max="3"/>
    <col width="45" customWidth="1" style="24" min="4" max="4"/>
  </cols>
  <sheetData>
    <row r="1" ht="16.2" customHeight="1" s="24">
      <c r="A1" s="1" t="inlineStr">
        <is>
          <t>D. NHAT KY DIEN BIEN (append-only, moi nhat duoi cung)</t>
        </is>
      </c>
    </row>
    <row r="3" ht="15" customHeight="1" s="24">
      <c r="A3" s="20" t="inlineStr">
        <is>
          <t>ngay</t>
        </is>
      </c>
      <c r="B3" s="20" t="inlineStr">
        <is>
          <t>su_kien_so_lieu</t>
        </is>
      </c>
      <c r="C3" s="20" t="inlineStr">
        <is>
          <t>nguon</t>
        </is>
      </c>
      <c r="D3" s="20" t="inlineStr">
        <is>
          <t>doc_nhanh</t>
        </is>
      </c>
    </row>
    <row r="4" ht="15" customHeight="1" s="24">
      <c r="A4" s="4" t="inlineStr">
        <is>
          <t>~2026-03</t>
        </is>
      </c>
      <c r="B4" s="4" t="inlineStr">
        <is>
          <t>rut kho khoi Bybit/Bitget tai dinh markup (123-128d truoc)</t>
        </is>
      </c>
      <c r="C4" s="4" t="inlineStr">
        <is>
          <t>BscScan tay + Velo</t>
        </is>
      </c>
      <c r="D4" s="4" t="inlineStr">
        <is>
          <t>moi gom gia; CVD gay tu day</t>
        </is>
      </c>
    </row>
    <row r="5" ht="15" customHeight="1" s="24">
      <c r="A5" s="4" t="inlineStr">
        <is>
          <t>07-29</t>
        </is>
      </c>
      <c r="B5" s="4" t="inlineStr">
        <is>
          <t>deposit 6% (~$2.64M) len san</t>
        </is>
      </c>
      <c r="C5" s="4" t="inlineStr">
        <is>
          <t>BscScan tay</t>
        </is>
      </c>
      <c r="D5" s="4" t="inlineStr">
        <is>
          <t>chuan bi dan</t>
        </is>
      </c>
    </row>
    <row r="6" ht="15" customHeight="1" s="24">
      <c r="A6" s="4" t="inlineStr">
        <is>
          <t>07-29</t>
        </is>
      </c>
      <c r="B6" s="4" t="inlineStr">
        <is>
          <t>perp: OI-floor 4.6M, gLSR 1.94 len, funding am 0.018%/8h duong</t>
        </is>
      </c>
      <c r="C6" s="4" t="inlineStr">
        <is>
          <t>probe + Velo</t>
        </is>
      </c>
      <c r="D6" s="4" t="inlineStr">
        <is>
          <t>crowd sai cho; san cua tay thao viec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style="24" min="1" max="1"/>
    <col width="22" customWidth="1" style="24" min="2" max="2"/>
    <col width="44" customWidth="1" style="24" min="3" max="3"/>
    <col width="40" customWidth="1" style="24" min="4" max="4"/>
    <col width="22" customWidth="1" style="24" min="5" max="5"/>
  </cols>
  <sheetData>
    <row r="1" ht="16.2" customHeight="1" s="24">
      <c r="A1" s="1" t="inlineStr">
        <is>
          <t>C. CHOT THEO DOI — doc moi ngay sau nen dong</t>
        </is>
      </c>
    </row>
    <row r="3" ht="15" customHeight="1" s="24">
      <c r="A3" s="20" t="inlineStr">
        <is>
          <t>#</t>
        </is>
      </c>
      <c r="B3" s="20" t="inlineStr">
        <is>
          <t>chot</t>
        </is>
      </c>
      <c r="C3" s="20" t="inlineStr">
        <is>
          <t>dieu_kien</t>
        </is>
      </c>
      <c r="D3" s="20" t="inlineStr">
        <is>
          <t>nghia_khi_bat</t>
        </is>
      </c>
      <c r="E3" s="20" t="inlineStr">
        <is>
          <t>trang_thai_hom_nay</t>
        </is>
      </c>
    </row>
    <row r="4" ht="23.85" customHeight="1" s="24">
      <c r="A4" s="4" t="inlineStr">
        <is>
          <t>1</t>
        </is>
      </c>
      <c r="B4" s="4" t="inlineStr">
        <is>
          <t>Ghe MM</t>
        </is>
      </c>
      <c r="C4" s="4" t="inlineStr">
        <is>
          <t>pos_r nhich ben tai nen OI 4.6M</t>
        </is>
      </c>
      <c r="D4" s="4" t="inlineStr">
        <is>
          <t>dinh luat #9 — MM ngoi them truoc keo, tin hieu dam</t>
        </is>
      </c>
      <c r="E4" s="5" t="inlineStr">
        <is>
          <t>1.661 baseline</t>
        </is>
      </c>
    </row>
    <row r="5" ht="15" customHeight="1" s="24">
      <c r="A5" s="4" t="inlineStr">
        <is>
          <t>2</t>
        </is>
      </c>
      <c r="B5" s="4" t="inlineStr">
        <is>
          <t>Rua crowd</t>
        </is>
      </c>
      <c r="C5" s="4" t="inlineStr">
        <is>
          <t>crowd_flush bat ky bien the — gLSR 1.94 phai sap</t>
        </is>
      </c>
      <c r="D5" s="4" t="inlineStr">
        <is>
          <t>dieu kien tien quyet leg that</t>
        </is>
      </c>
      <c r="E5" s="5" t="inlineStr">
        <is>
          <t>PENDING</t>
        </is>
      </c>
    </row>
    <row r="6" ht="15" customHeight="1" s="24">
      <c r="A6" s="4" t="inlineStr">
        <is>
          <t>3</t>
        </is>
      </c>
      <c r="B6" s="4" t="inlineStr">
        <is>
          <t>Kho 6%</t>
        </is>
      </c>
      <c r="C6" s="4" t="inlineStr">
        <is>
          <t>chuyen dong tiep (chia nho / them / rut lai)</t>
        </is>
      </c>
      <c r="D6" s="4" t="inlineStr">
        <is>
          <t>danh dau pha; rut-lai = moi vong moi</t>
        </is>
      </c>
      <c r="E6" s="5" t="inlineStr">
        <is>
          <t>vua len san</t>
        </is>
      </c>
    </row>
    <row r="7" ht="15" customHeight="1" s="24">
      <c r="A7" s="4" t="inlineStr">
        <is>
          <t>4</t>
        </is>
      </c>
      <c r="B7" s="4" t="inlineStr">
        <is>
          <t>Bay BTW pha 2</t>
        </is>
      </c>
      <c r="C7" s="4" t="inlineStr">
        <is>
          <t>gia do phang + funding am phan ky</t>
        </is>
      </c>
      <c r="D7" s="4" t="inlineStr">
        <is>
          <t>suppressor funding_neg_div — xac nhan trap</t>
        </is>
      </c>
      <c r="E7" s="5" t="inlineStr">
        <is>
          <t>PENDING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style="24" min="1" max="1"/>
    <col width="11" customWidth="1" style="24" min="2" max="2"/>
    <col width="12" customWidth="1" style="24" min="3" max="3"/>
    <col width="9" customWidth="1" style="24" min="4" max="4"/>
    <col width="16" customWidth="1" style="24" min="5" max="5"/>
    <col width="13" customWidth="1" style="24" min="6" max="6"/>
    <col width="9" customWidth="1" style="24" min="7" max="7"/>
    <col width="42" customWidth="1" style="24" min="8" max="9"/>
  </cols>
  <sheetData>
    <row r="1" ht="16.2" customHeight="1" s="24">
      <c r="A1" s="1" t="inlineStr">
        <is>
          <t>E. OUTCOME — dien tai moc; verdict_check: verdict luc mo DUNG/SAI o diem nao</t>
        </is>
      </c>
    </row>
    <row r="3" ht="15" customHeight="1" s="24">
      <c r="A3" s="20" t="inlineStr">
        <is>
          <t>moc</t>
        </is>
      </c>
      <c r="B3" s="20" t="inlineStr">
        <is>
          <t>ngay_han</t>
        </is>
      </c>
      <c r="C3" s="20" t="inlineStr">
        <is>
          <t>px</t>
        </is>
      </c>
      <c r="D3" s="20" t="inlineStr">
        <is>
          <t>ret_pct</t>
        </is>
      </c>
      <c r="E3" s="20" t="inlineStr">
        <is>
          <t>drawup_drawdown</t>
        </is>
      </c>
      <c r="F3" s="20" t="inlineStr">
        <is>
          <t>oi_usd</t>
        </is>
      </c>
      <c r="G3" s="20" t="inlineStr">
        <is>
          <t>gLSR</t>
        </is>
      </c>
      <c r="H3" s="20" t="inlineStr">
        <is>
          <t>dien_bien</t>
        </is>
      </c>
      <c r="I3" s="20" t="inlineStr">
        <is>
          <t>verdict_check</t>
        </is>
      </c>
    </row>
    <row r="4" ht="15" customHeight="1" s="24">
      <c r="A4" s="4" t="inlineStr">
        <is>
          <t>T+7</t>
        </is>
      </c>
      <c r="B4" s="4" t="inlineStr">
        <is>
          <t>2026-08-05</t>
        </is>
      </c>
      <c r="C4" s="5" t="n"/>
      <c r="D4" s="5" t="n"/>
      <c r="E4" s="5" t="n"/>
      <c r="F4" s="5" t="n"/>
      <c r="G4" s="5" t="n"/>
      <c r="H4" s="5" t="n"/>
      <c r="I4" s="5" t="n"/>
    </row>
    <row r="5" ht="15" customHeight="1" s="24">
      <c r="A5" s="4" t="inlineStr">
        <is>
          <t>T+14</t>
        </is>
      </c>
      <c r="B5" s="4" t="inlineStr">
        <is>
          <t>2026-08-12</t>
        </is>
      </c>
      <c r="C5" s="5" t="n"/>
      <c r="D5" s="5" t="n"/>
      <c r="E5" s="5" t="n"/>
      <c r="F5" s="5" t="n"/>
      <c r="G5" s="5" t="n"/>
      <c r="H5" s="5" t="n"/>
      <c r="I5" s="5" t="n"/>
    </row>
    <row r="6" ht="15" customHeight="1" s="24">
      <c r="A6" s="4" t="inlineStr">
        <is>
          <t>T+30</t>
        </is>
      </c>
      <c r="B6" s="4" t="inlineStr">
        <is>
          <t>2026-08-28</t>
        </is>
      </c>
      <c r="C6" s="5" t="n"/>
      <c r="D6" s="5" t="n"/>
      <c r="E6" s="5" t="n"/>
      <c r="F6" s="5" t="n"/>
      <c r="G6" s="5" t="n"/>
      <c r="H6" s="5" t="n"/>
      <c r="I6" s="5" t="n"/>
    </row>
    <row r="7" ht="15" customHeight="1" s="24">
      <c r="A7" s="4" t="inlineStr">
        <is>
          <t>T+60</t>
        </is>
      </c>
      <c r="B7" s="4" t="inlineStr">
        <is>
          <t>2026-09-27</t>
        </is>
      </c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tabSelected="1" zoomScaleNormal="100" workbookViewId="0">
      <selection activeCell="B14" sqref="B14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I. MM / OPERATOR PROFILE — van tay hanh vi (moi MM danh mot kieu)</t>
        </is>
      </c>
    </row>
    <row r="3" ht="15" customHeight="1" s="24">
      <c r="A3" s="3" t="inlineStr">
        <is>
          <t>MM cong bo / nghi van</t>
        </is>
      </c>
      <c r="B3" s="5" t="inlineStr">
        <is>
          <t>unknown — tra ho so listing/cong bo du an (PENDING)</t>
        </is>
      </c>
    </row>
    <row r="4" ht="15" customHeight="1" s="24">
      <c r="A4" s="3" t="inlineStr">
        <is>
          <t>MM_ID</t>
        </is>
      </c>
      <c r="B4" s="4" t="inlineStr">
        <is>
          <t>MM-BAIT-B (3/3: bait-withdrawal tai dinh + funding duong dai thu phi + xa khong qua book)</t>
        </is>
      </c>
    </row>
    <row r="5" ht="15" customHeight="1" s="24">
      <c r="A5" s="3" t="inlineStr">
        <is>
          <t>Van tay funding</t>
        </is>
      </c>
      <c r="B5" s="4" t="inlineStr">
        <is>
          <t>de duong gan lien tuc 4 thang gia giam — thu phi crowd long</t>
        </is>
      </c>
    </row>
    <row r="6" ht="15" customHeight="1" s="24">
      <c r="A6" s="3" t="inlineStr">
        <is>
          <t>Van tay markup</t>
        </is>
      </c>
      <c r="B6" s="5" t="inlineStr">
        <is>
          <t>PENDING — leg keo sap toi (neu co) se lo van tay</t>
        </is>
      </c>
    </row>
    <row r="7" ht="15" customHeight="1" s="24">
      <c r="A7" s="3" t="inlineStr">
        <is>
          <t>Ky thuat quan crowd</t>
        </is>
      </c>
      <c r="B7" s="4" t="inlineStr">
        <is>
          <t>chua thay cu flush ro — crowd dang duoc NUOI (gLSR len)</t>
        </is>
      </c>
    </row>
    <row r="8" ht="15" customHeight="1" s="24">
      <c r="A8" s="3" t="inlineStr">
        <is>
          <t>Ky thuat moi on-chain</t>
        </is>
      </c>
      <c r="B8" s="4" t="inlineStr">
        <is>
          <t>bait-withdrawal tai dinh (T-125) — giong BTW nguyen ban</t>
        </is>
      </c>
    </row>
    <row r="9" ht="15" customHeight="1" s="24">
      <c r="A9" s="3" t="inlineStr">
        <is>
          <t>Venue</t>
        </is>
      </c>
      <c r="B9" s="4" t="inlineStr">
        <is>
          <t>Binance perp (san chinh) + Gate spot (bai do, book sieu mong)</t>
        </is>
      </c>
    </row>
    <row r="10" ht="15" customHeight="1" s="24">
      <c r="A10" s="3" t="inlineStr">
        <is>
          <t>Cross-campaign</t>
        </is>
      </c>
      <c r="B10" s="4" t="inlineStr">
        <is>
          <t>cung ho BTW — neu tim thay van tay dia chi trung: alert cap he thong</t>
        </is>
      </c>
    </row>
    <row r="11" ht="15" customHeight="1" s="24">
      <c r="A11" s="3" t="inlineStr">
        <is>
          <t>Ung xu voi minh</t>
        </is>
      </c>
      <c r="B11" s="5" t="inlineStr">
        <is>
          <t>PENDING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J. TOKENOMICS / UNLOCK — dong cung co lich, MM danh quanh no</t>
        </is>
      </c>
    </row>
    <row r="3" ht="15" customHeight="1" s="24">
      <c r="A3" s="3" t="inlineStr">
        <is>
          <t>Circulating / Total</t>
        </is>
      </c>
      <c r="B3" s="5" t="inlineStr">
        <is>
          <t>PENDING</t>
        </is>
      </c>
    </row>
    <row r="4" ht="15" customHeight="1" s="24">
      <c r="A4" s="3" t="inlineStr">
        <is>
          <t>Nguon tra</t>
        </is>
      </c>
      <c r="B4" s="5" t="inlineStr">
        <is>
          <t>PENDING — TRA NGAY (viec tay gap nhat case nay)</t>
        </is>
      </c>
    </row>
    <row r="5" ht="15" customHeight="1" s="24">
      <c r="A5" s="3" t="inlineStr">
        <is>
          <t>Unlock KE TIEP</t>
        </is>
      </c>
      <c r="B5" s="5" t="inlineStr">
        <is>
          <t>PENDING — deposit 6% dung cach unlock bao xa quyet do khan kich ban</t>
        </is>
      </c>
    </row>
    <row r="6" ht="15" customHeight="1" s="24">
      <c r="A6" s="3" t="inlineStr">
        <is>
          <t>Unlock 90 ngay toi</t>
        </is>
      </c>
      <c r="B6" s="5" t="inlineStr">
        <is>
          <t>PENDING</t>
        </is>
      </c>
    </row>
    <row r="7" ht="15" customHeight="1" s="24">
      <c r="A7" s="3" t="inlineStr">
        <is>
          <t>Cliff da qua</t>
        </is>
      </c>
      <c r="B7" s="5" t="inlineStr">
        <is>
          <t>PENDING — hanh vi gia quanh cliff cu = mau hanh vi tay choi voi unlock</t>
        </is>
      </c>
    </row>
    <row r="8" ht="15" customHeight="1" s="24">
      <c r="A8" s="3" t="inlineStr">
        <is>
          <t>Doc</t>
        </is>
      </c>
      <c r="B8" s="4" t="inlineStr">
        <is>
          <t>neu unlock lon 30-60d toi: kich ban keo-tao-hype-de-xa co deadline tu nhien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2026-08-17T07:46:15Z</dcterms:modified>
  <cp:lastModifiedBy>Tien Bui</cp:lastModifiedBy>
  <cp:revision>0</cp:revision>
</cp:coreProperties>
</file>