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0000000"/>
    <numFmt numFmtId="166" formatCode="0.0"/>
    <numFmt numFmtId="167" formatCode="0.000000"/>
    <numFmt numFmtId="168" formatCode="0.0000"/>
    <numFmt numFmtId="169" formatCode="0.000"/>
    <numFmt numFmtId="170" formatCode="0.0%"/>
  </numFmts>
  <fonts count="7">
    <font>
      <name val="Calibri"/>
      <charset val="1"/>
      <family val="2"/>
      <color theme="1"/>
      <sz val="11"/>
    </font>
    <font>
      <name val="Arial"/>
      <charset val="1"/>
      <b val="1"/>
      <sz val="13"/>
    </font>
    <font>
      <name val="Arial"/>
      <charset val="1"/>
      <sz val="9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B3F00"/>
        <bgColor rgb="FF806000"/>
      </patternFill>
    </fill>
    <fill>
      <patternFill patternType="solid">
        <fgColor rgb="FF806000"/>
        <bgColor rgb="FF7B3F00"/>
      </patternFill>
    </fill>
    <fill>
      <patternFill patternType="solid">
        <fgColor rgb="FFBF8F00"/>
        <bgColor rgb="FFFF6600"/>
      </patternFill>
    </fill>
    <fill>
      <patternFill patternType="solid">
        <fgColor rgb="FF404040"/>
        <b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" fontId="4" fillId="0" borderId="1" pivotButton="0" quotePrefix="0" xfId="0"/>
    <xf numFmtId="49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170" fontId="4" fillId="0" borderId="1" pivotButton="0" quotePrefix="0" xfId="0"/>
    <xf numFmtId="2" fontId="4" fillId="0" borderId="1" pivotButton="0" quotePrefix="0" xfId="0"/>
    <xf numFmtId="0" fontId="6" fillId="9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whale-data-operator</author>
    <author>agent</author>
  </authors>
  <commentList>
    <comment ref="M2" authorId="0" shapeId="0">
      <text>
        <t>oi_vs_med14 Excel != dinh nghia fire
Window ending khac signals.py
(signals.py: window ket thuc ngay-truoc-check; Excel: window khac, chi nhin nhanh)</t>
      </text>
    </comment>
    <comment ref="AC31" authorId="1" shapeId="0">
      <text>
        <t>CẤM — L-29: taker_spot Gate chưa verify; để trống, không dùng làm bằng chứng</t>
      </text>
    </comment>
    <comment ref="AC32" authorId="1" shapeId="0">
      <text>
        <t>CẤM — L-29: taker_spot Gate chưa verify; để trống, không dùng làm bằng chứng</t>
      </text>
    </comment>
  </commentList>
</comments>
</file>

<file path=xl/comments/comment2.xml><?xml version="1.0" encoding="utf-8"?>
<comments xmlns="http://schemas.openxmlformats.org/spreadsheetml/2006/main">
  <authors>
    <author>agent</author>
  </authors>
  <commentList>
    <comment ref="A4" authorId="0" shapeId="0">
      <text>
        <t>So intraday/khong-ro-boundary: chi song EVENTS, khong vao DAILY (L-21/L-25)</t>
      </text>
    </comment>
    <comment ref="A5" authorId="0" shapeId="0">
      <text>
        <t>Can CAN OPERATOR: txhash E1+E2, dich 58bro, Nansen label-check infra_gate</t>
      </text>
    </comment>
  </commentList>
</comments>
</file>

<file path=xl/comments/comment3.xml><?xml version="1.0" encoding="utf-8"?>
<comments xmlns="http://schemas.openxmlformats.org/spreadsheetml/2006/main">
  <authors>
    <author>agent</author>
  </authors>
  <commentList>
    <comment ref="A12" authorId="0" shapeId="0">
      <text>
        <t>Van tay 1 (PENDING chot)</t>
      </text>
    </comment>
    <comment ref="A13" authorId="0" shapeId="0">
      <text>
        <t>Van tay 2 (PENDING chot)</t>
      </text>
    </comment>
    <comment ref="A14" authorId="0" shapeId="0">
      <text>
        <t>Van tay 3 (PENDING chot)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zoomScaleNormal="100" workbookViewId="0">
      <selection activeCell="B11" sqref="B11"/>
    </sheetView>
  </sheetViews>
  <sheetFormatPr baseColWidth="8" defaultColWidth="8.6640625" defaultRowHeight="14.4"/>
  <cols>
    <col width="26" customWidth="1" min="1" max="1"/>
    <col width="100" customWidth="1" min="2" max="2"/>
  </cols>
  <sheetData>
    <row r="1" ht="16.2" customHeight="1">
      <c r="A1" s="1" t="inlineStr">
        <is>
          <t>CASE FILE — IDOL</t>
        </is>
      </c>
    </row>
    <row r="2" ht="15" customHeight="1">
      <c r="A2" t="inlineStr">
        <is>
          <t>LEGEND</t>
        </is>
      </c>
      <c r="B2" t="inlineStr">
        <is>
          <t>oi_vs_med14 Excel != dinh nghia fire — window ending khac signals.py (signals.py dung window ket thuc ngay-truoc-check; DAILY dung window khac, chi nhin nhanh)</t>
        </is>
      </c>
    </row>
    <row r="3">
      <c r="A3" s="2" t="inlineStr">
        <is>
          <t>Nguon: case_tracker v1.1 · verdict chi operator ghi · so kem nguon · PENDING khong doan</t>
        </is>
      </c>
    </row>
    <row r="4" ht="15" customHeight="1">
      <c r="A4" t="inlineStr">
        <is>
          <t>bsc_contract_address</t>
        </is>
      </c>
      <c r="B4" t="inlineStr">
        <is>
          <t>0x3b4de3c7855c03bb9f50ea252cd2c9fa1125ab07</t>
        </is>
      </c>
    </row>
    <row r="5" ht="15" customHeight="1">
      <c r="A5" s="3" t="inlineStr">
        <is>
          <t>Status</t>
        </is>
      </c>
      <c r="B5" s="4" t="inlineStr">
        <is>
          <t>OPEN — WATCH-nong</t>
        </is>
      </c>
    </row>
    <row r="6" ht="15" customHeight="1">
      <c r="A6" s="3" t="inlineStr">
        <is>
          <t>Loai</t>
        </is>
      </c>
      <c r="B6" s="4" t="inlineStr">
        <is>
          <t>pump-setup vong 2 (sau ARMED#1 cu)</t>
        </is>
      </c>
    </row>
    <row r="7" ht="15" customHeight="1">
      <c r="A7" s="3" t="inlineStr">
        <is>
          <t>Ngay phat hien</t>
        </is>
      </c>
      <c r="B7" s="4" t="inlineStr">
        <is>
          <t>27-28/07: 2 vi consolidate 17M -&gt; 0x34828d + 3 vi rut ~$26M khoi Gate/48h</t>
        </is>
      </c>
    </row>
    <row r="8" ht="15" customHeight="1">
      <c r="A8" s="3" t="inlineStr">
        <is>
          <t>T0</t>
        </is>
      </c>
      <c r="B8" s="4" t="inlineStr">
        <is>
          <t>chua xac dinh (ung vien 07-27/28 neu stealth giu) · px 28/07 ~0.00139</t>
        </is>
      </c>
    </row>
    <row r="9" ht="15" customHeight="1">
      <c r="A9" s="3" t="inlineStr">
        <is>
          <t>action_class</t>
        </is>
      </c>
      <c r="B9" s="5" t="inlineStr">
        <is>
          <t>WATCH — CHUA tai-ARM (thieu manh cau truc); KHONG duoi gia +40% (bai TUT/BULLA)</t>
        </is>
      </c>
    </row>
    <row r="10" ht="15" customHeight="1">
      <c r="A10" s="3" t="inlineStr">
        <is>
          <t>Vi the</t>
        </is>
      </c>
      <c r="B10" s="4" t="inlineStr">
        <is>
          <t>none</t>
        </is>
      </c>
    </row>
    <row r="11" ht="15" customHeight="1">
      <c r="A11" s="3" t="inlineStr">
        <is>
          <t>Tom tat input</t>
        </is>
      </c>
      <c r="B11" s="4" t="inlineStr">
        <is>
          <t>Gate probe: V thang 7 ~$15.6M &lt; $26M -&gt; KHONG THE gom tren Gate, inventory co san · book $2.5k/$1.2k = bai do · 0 cum BotAccum · nen 28/07: stealth_grind ban (margin mong), gLSR 1.71-&gt;1.30 wash-by-rally, pos hoi 1.595, div bung ~1.6 (avg3 1.34 chua dat) | [Z4-rev 03/08] W6 GOM-qua-Alpha = PLAUSIBLE (giả thuyết dẫn đầu). Z7: IDOL no_spot Binance, no Binance Alpha listing — nhưng Binance có thể là broker/custodian BSC. VWAP DEX proxy $0.018912 (Z6, 50/50). CG 03/08: PSv3-BSC $5.98M, Gate $1.12M, LBank $1.24M/24h. PENDING Z1: txhash 13 ví đích → confirm cơ chế.</t>
        </is>
      </c>
    </row>
    <row r="12" ht="15" customHeight="1">
      <c r="A12" s="3" t="inlineStr">
        <is>
          <t>Verdict (operator)</t>
        </is>
      </c>
      <c r="B12" s="5" t="inlineStr">
        <is>
          <t>campaign nhieu kha nang tai khoi dong; 1 tell + accelerant, thieu 2 manh cau truc -&gt; chua ARMED</t>
        </is>
      </c>
    </row>
    <row r="13">
      <c r="A13" s="3" t="inlineStr">
        <is>
          <t>Dieu gi chung minh SAI</t>
        </is>
      </c>
      <c r="B13" s="5" t="inlineStr">
        <is>
          <t>redeposit tu bat ky vi nao cum 6 · gia &lt;0.00072 · gLSR quay len &gt;1.5 kem gia dung</t>
        </is>
      </c>
    </row>
    <row r="14" ht="39.75" customHeight="1"/>
    <row r="15" ht="22.8" customHeight="1">
      <c r="A15" s="6" t="inlineStr">
        <is>
          <t>LEGEND</t>
        </is>
      </c>
      <c r="B15" s="7" t="inlineStr">
        <is>
          <t xml:space="preserve">O vang = operator dien/quyet · Header nau vang (sheet DAILY) = cot manual · Dong to cam (DAILY) = data_bad=1, so mang sai so · Cot cong thuc (ret_1d, div, slope, oi_vs_med14, alpha) tu tinh khi may append dong moi — copy cong thuc dong tren xuong. 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29" sqref="Q29"/>
    </sheetView>
  </sheetViews>
  <sheetFormatPr baseColWidth="8" defaultColWidth="8.6640625" defaultRowHeight="14.4"/>
  <cols>
    <col width="10.33203125" bestFit="1" customWidth="1" min="1" max="1"/>
    <col width="12" bestFit="1" customWidth="1" min="2" max="2"/>
    <col width="12.6640625" bestFit="1" customWidth="1" min="3" max="3"/>
    <col width="12" bestFit="1" customWidth="1" min="4" max="4"/>
    <col width="12.33203125" bestFit="1" customWidth="1" min="5" max="5"/>
    <col width="12" bestFit="1" customWidth="1" min="6" max="6"/>
    <col width="11.6640625" bestFit="1" customWidth="1" min="7" max="7"/>
    <col width="11" bestFit="1" customWidth="1" min="8" max="8"/>
    <col width="3.44140625" bestFit="1" customWidth="1" min="9" max="9"/>
    <col width="13.44140625" bestFit="1" customWidth="1" min="10" max="10"/>
    <col width="9.44140625" bestFit="1" customWidth="1" min="11" max="11"/>
    <col width="12" bestFit="1" customWidth="1" min="12" max="12"/>
    <col width="11.5546875" bestFit="1" customWidth="1" min="13" max="13"/>
    <col width="11.33203125" bestFit="1" customWidth="1" min="14" max="14"/>
    <col width="8.5546875" bestFit="1" customWidth="1" min="15" max="16"/>
    <col width="10.44140625" bestFit="1" customWidth="1" min="17" max="17"/>
    <col width="12" bestFit="1" customWidth="1" min="18" max="19"/>
    <col width="12.21875" bestFit="1" customWidth="1" min="20" max="20"/>
    <col width="12.6640625" bestFit="1" customWidth="1" min="21" max="21"/>
    <col width="12" bestFit="1" customWidth="1" min="22" max="22"/>
    <col width="12.88671875" bestFit="1" customWidth="1" min="23" max="23"/>
    <col width="15.21875" bestFit="1" customWidth="1" min="24" max="24"/>
    <col width="11.109375" bestFit="1" customWidth="1" min="25" max="25"/>
    <col width="8.33203125" bestFit="1" customWidth="1" min="26" max="26"/>
    <col width="16.21875" bestFit="1" customWidth="1" min="27" max="27"/>
    <col width="11.5546875" bestFit="1" customWidth="1" min="28" max="28"/>
    <col width="13.21875" bestFit="1" customWidth="1" min="29" max="29"/>
    <col width="13.77734375" bestFit="1" customWidth="1" min="30" max="30"/>
    <col width="14.33203125" bestFit="1" customWidth="1" min="31" max="31"/>
    <col width="10.44140625" bestFit="1" customWidth="1" min="32" max="32"/>
    <col width="11.33203125" bestFit="1" customWidth="1" min="33" max="33"/>
    <col width="11" customWidth="1" min="34" max="34"/>
    <col width="11.88671875" bestFit="1" customWidth="1" min="35" max="35"/>
    <col width="12.77734375" bestFit="1" customWidth="1" min="36" max="36"/>
    <col width="20.109375" bestFit="1" customWidth="1" min="37" max="37"/>
    <col width="12.21875" bestFit="1" customWidth="1" min="38" max="38"/>
    <col width="13.33203125" bestFit="1" customWidth="1" min="39" max="39"/>
    <col width="16.21875" bestFit="1" customWidth="1" min="40" max="40"/>
    <col width="8.44140625" bestFit="1" customWidth="1" min="41" max="41"/>
  </cols>
  <sheetData>
    <row r="1" ht="15.75" customHeight="1">
      <c r="A1" s="8" t="inlineStr">
        <is>
          <t>PERP (may)</t>
        </is>
      </c>
      <c r="AA1" s="9" t="inlineStr">
        <is>
          <t>SPOT/ALPHA (may)</t>
        </is>
      </c>
      <c r="AK1" s="10" t="inlineStr">
        <is>
          <t>ON-CHAIN (ban tu dong)</t>
        </is>
      </c>
      <c r="AN1" s="11" t="inlineStr">
        <is>
          <t>MANUAL (operator)</t>
        </is>
      </c>
    </row>
    <row r="2" ht="15" customHeight="1">
      <c r="A2" s="12" t="inlineStr">
        <is>
          <t>date</t>
        </is>
      </c>
      <c r="B2" s="12" t="inlineStr">
        <is>
          <t>px_avg</t>
        </is>
      </c>
      <c r="C2" s="12" t="inlineStr">
        <is>
          <t>ret_1d</t>
        </is>
      </c>
      <c r="D2" s="12" t="inlineStr">
        <is>
          <t>vol_perp_usd</t>
        </is>
      </c>
      <c r="E2" s="12" t="inlineStr">
        <is>
          <t>taker_buy_pct</t>
        </is>
      </c>
      <c r="F2" s="12" t="inlineStr">
        <is>
          <t>f_avg</t>
        </is>
      </c>
      <c r="G2" s="12" t="inlineStr">
        <is>
          <t>f_min</t>
        </is>
      </c>
      <c r="H2" s="12" t="inlineStr">
        <is>
          <t>f_max</t>
        </is>
      </c>
      <c r="I2" s="12" t="inlineStr">
        <is>
          <t>f_n</t>
        </is>
      </c>
      <c r="J2" s="12" t="inlineStr">
        <is>
          <t>funding_regime</t>
        </is>
      </c>
      <c r="K2" s="12" t="inlineStr">
        <is>
          <t>pin_streak</t>
        </is>
      </c>
      <c r="L2" s="12" t="inlineStr">
        <is>
          <t>oi_usd</t>
        </is>
      </c>
      <c r="M2" s="12" t="inlineStr">
        <is>
          <t>oi_vs_med14</t>
        </is>
      </c>
      <c r="N2" s="12" t="inlineStr">
        <is>
          <t>oi_cycle_pos</t>
        </is>
      </c>
      <c r="O2" s="12" t="inlineStr">
        <is>
          <t>lsr_pos_r</t>
        </is>
      </c>
      <c r="P2" s="12" t="inlineStr">
        <is>
          <t>lsr_acc_r</t>
        </is>
      </c>
      <c r="Q2" s="12" t="inlineStr">
        <is>
          <t>lsr_global_r</t>
        </is>
      </c>
      <c r="R2" s="12" t="inlineStr">
        <is>
          <t>div_raw</t>
        </is>
      </c>
      <c r="S2" s="12" t="inlineStr">
        <is>
          <t>div_avg3</t>
        </is>
      </c>
      <c r="T2" s="12" t="inlineStr">
        <is>
          <t>glsr_slope_5d</t>
        </is>
      </c>
      <c r="U2" s="12" t="inlineStr">
        <is>
          <t>d_pos_3d</t>
        </is>
      </c>
      <c r="V2" s="12" t="inlineStr">
        <is>
          <t>d_acc_3d</t>
        </is>
      </c>
      <c r="W2" s="12" t="inlineStr">
        <is>
          <t>signals_bullish</t>
        </is>
      </c>
      <c r="X2" s="12" t="inlineStr">
        <is>
          <t>signals_suppress</t>
        </is>
      </c>
      <c r="Y2" s="12" t="inlineStr">
        <is>
          <t>screen_rank</t>
        </is>
      </c>
      <c r="Z2" s="12" t="inlineStr">
        <is>
          <t>data_bad</t>
        </is>
      </c>
      <c r="AA2" s="13" t="inlineStr">
        <is>
          <t>spot_venue</t>
        </is>
      </c>
      <c r="AB2" s="13" t="inlineStr">
        <is>
          <t>vol_spot_usd</t>
        </is>
      </c>
      <c r="AC2" s="13" t="inlineStr">
        <is>
          <t>taker_spot_pct</t>
        </is>
      </c>
      <c r="AD2" s="13" t="inlineStr">
        <is>
          <t>depth_bid2_usd</t>
        </is>
      </c>
      <c r="AE2" s="13" t="inlineStr">
        <is>
          <t>depth_ask2_usd</t>
        </is>
      </c>
      <c r="AF2" s="13" t="inlineStr">
        <is>
          <t>bid_wall_px</t>
        </is>
      </c>
      <c r="AG2" s="13" t="inlineStr">
        <is>
          <t>bid_wall_usd</t>
        </is>
      </c>
      <c r="AH2" s="13" t="inlineStr">
        <is>
          <t>ask_wall_px</t>
        </is>
      </c>
      <c r="AI2" s="13" t="inlineStr">
        <is>
          <t>ask_wall_usd</t>
        </is>
      </c>
      <c r="AJ2" s="13" t="inlineStr">
        <is>
          <t>alpha_suspect</t>
        </is>
      </c>
      <c r="AK2" s="14" t="inlineStr">
        <is>
          <t>exch_balance_delta</t>
        </is>
      </c>
      <c r="AL2" s="14" t="inlineStr">
        <is>
          <t>wallet_activity</t>
        </is>
      </c>
      <c r="AM2" s="14" t="inlineStr">
        <is>
          <t>dominance_pct</t>
        </is>
      </c>
      <c r="AN2" s="14" t="inlineStr">
        <is>
          <t>note_operator</t>
        </is>
      </c>
      <c r="AO2" s="14" t="inlineStr">
        <is>
          <t>mm_note</t>
        </is>
      </c>
      <c r="AP2" t="inlineStr">
        <is>
          <t>vol_alpha_usd</t>
        </is>
      </c>
      <c r="AQ2" t="inlineStr">
        <is>
          <t>n_trades_alpha</t>
        </is>
      </c>
    </row>
    <row r="3" ht="15" customHeight="1">
      <c r="A3" s="15" t="inlineStr">
        <is>
          <t>2026-07-01</t>
        </is>
      </c>
      <c r="B3" s="16" t="n">
        <v>0.0186562358117994</v>
      </c>
      <c r="D3" s="17" t="n">
        <v>16584068.48426</v>
      </c>
      <c r="E3" s="18" t="n">
        <v>0.4780007889437288</v>
      </c>
      <c r="F3" s="19" t="n">
        <v>5e-05</v>
      </c>
      <c r="G3" s="19" t="n">
        <v>5e-05</v>
      </c>
      <c r="H3" s="19" t="n">
        <v>5e-05</v>
      </c>
      <c r="I3" s="20" t="n">
        <v>6</v>
      </c>
      <c r="J3" s="21" t="inlineStr">
        <is>
          <t>PINNED</t>
        </is>
      </c>
      <c r="K3" t="n">
        <v>1</v>
      </c>
      <c r="L3" s="17" t="n">
        <v>3099014.82334011</v>
      </c>
      <c r="O3" s="22" t="n">
        <v>1.2677</v>
      </c>
      <c r="P3" s="22" t="n">
        <v>1.7941</v>
      </c>
      <c r="Q3" s="22" t="n">
        <v>1.8563</v>
      </c>
      <c r="R3" s="23">
        <f>IFERROR(O3/P3,"")</f>
        <v/>
      </c>
      <c r="S3">
        <f>IFERROR(AVERAGE(R1:R3),"")</f>
        <v/>
      </c>
      <c r="T3">
        <f>IFERROR(SLOPE(Q3:Q3,ROW(Q3:Q3)),"")</f>
        <v/>
      </c>
      <c r="AA3" s="21" t="inlineStr">
        <is>
          <t>Gate</t>
        </is>
      </c>
      <c r="AB3" t="n">
        <v>223517</v>
      </c>
      <c r="AJ3" s="18" t="n">
        <v>89644</v>
      </c>
      <c r="AN3" t="inlineStr">
        <is>
          <t>Gate=0.2235M | DEX_BSC(PancakeSwap)=N/A | src=GeckoTerminal one-shot 2026-08-03 | alpha_vol=$0.090M n=1,093</t>
        </is>
      </c>
      <c r="AP3" t="n">
        <v>89644</v>
      </c>
      <c r="AQ3" t="n">
        <v>1093</v>
      </c>
    </row>
    <row r="4" ht="15" customHeight="1">
      <c r="A4" s="15" t="inlineStr">
        <is>
          <t>2026-07-02</t>
        </is>
      </c>
      <c r="B4" s="16" t="n">
        <v>0.0155407362488524</v>
      </c>
      <c r="C4" s="24">
        <f>IFERROR(B4/B3-1,"")</f>
        <v/>
      </c>
      <c r="D4" s="17" t="n">
        <v>16258105.08826</v>
      </c>
      <c r="E4" s="18" t="n">
        <v>0.4760134092685071</v>
      </c>
      <c r="F4" s="19" t="n">
        <v>5e-05</v>
      </c>
      <c r="G4" s="19" t="n">
        <v>5e-05</v>
      </c>
      <c r="H4" s="19" t="n">
        <v>5e-05</v>
      </c>
      <c r="I4" s="20" t="n">
        <v>6</v>
      </c>
      <c r="J4" s="21" t="inlineStr">
        <is>
          <t>PINNED</t>
        </is>
      </c>
      <c r="K4" t="n">
        <v>2</v>
      </c>
      <c r="L4" s="17" t="n">
        <v>2894341.86324902</v>
      </c>
      <c r="M4" t="n">
        <v>0.9659</v>
      </c>
      <c r="O4" s="22" t="n">
        <v>1.2383</v>
      </c>
      <c r="P4" s="22" t="n">
        <v>1.6874</v>
      </c>
      <c r="Q4" s="22" t="n">
        <v>1.5491</v>
      </c>
      <c r="R4" s="23">
        <f>IFERROR(O4/P4,"")</f>
        <v/>
      </c>
      <c r="S4">
        <f>IFERROR(AVERAGE(R2:R4),"")</f>
        <v/>
      </c>
      <c r="T4">
        <f>IFERROR(SLOPE(Q3:Q4,ROW(Q3:Q4)),"")</f>
        <v/>
      </c>
      <c r="AA4" s="21" t="inlineStr">
        <is>
          <t>Gate</t>
        </is>
      </c>
      <c r="AB4" t="n">
        <v>261083</v>
      </c>
      <c r="AJ4" s="18" t="n">
        <v>74307</v>
      </c>
      <c r="AN4" t="inlineStr">
        <is>
          <t>Gate=0.2611M | DEX_BSC(PancakeSwap)=N/A | src=GeckoTerminal one-shot 2026-08-03 | alpha_vol=$0.074M n=1,019</t>
        </is>
      </c>
      <c r="AP4" t="n">
        <v>74307</v>
      </c>
      <c r="AQ4" t="n">
        <v>1019</v>
      </c>
    </row>
    <row r="5" ht="15" customHeight="1">
      <c r="A5" s="15" t="inlineStr">
        <is>
          <t>2026-07-03</t>
        </is>
      </c>
      <c r="B5" s="16" t="n">
        <v>0.0154007227098661</v>
      </c>
      <c r="C5" s="24">
        <f>IFERROR(B5/B4-1,"")</f>
        <v/>
      </c>
      <c r="D5" s="17" t="n">
        <v>15289807.35174</v>
      </c>
      <c r="E5" s="18" t="n">
        <v>0.4987639777670687</v>
      </c>
      <c r="F5" s="19" t="n">
        <v>0.000333755</v>
      </c>
      <c r="G5" s="19" t="n">
        <v>5e-05</v>
      </c>
      <c r="H5" s="19" t="n">
        <v>0.00175253</v>
      </c>
      <c r="I5" s="20" t="n">
        <v>6</v>
      </c>
      <c r="J5" s="21" t="inlineStr">
        <is>
          <t>FLOAT</t>
        </is>
      </c>
      <c r="L5" s="17" t="n">
        <v>3288740.32126068</v>
      </c>
      <c r="M5" t="n">
        <v>1.0612</v>
      </c>
      <c r="O5" s="22" t="n">
        <v>1.2157</v>
      </c>
      <c r="P5" s="22" t="n">
        <v>1.3031</v>
      </c>
      <c r="Q5" s="22" t="n">
        <v>1.1839</v>
      </c>
      <c r="R5" s="23">
        <f>IFERROR(O5/P5,"")</f>
        <v/>
      </c>
      <c r="S5" s="23">
        <f>IFERROR(AVERAGE(R3:R5),"")</f>
        <v/>
      </c>
      <c r="T5">
        <f>IFERROR(SLOPE(Q3:Q5,ROW(Q3:Q5)),"")</f>
        <v/>
      </c>
      <c r="AA5" s="21" t="inlineStr">
        <is>
          <t>Gate</t>
        </is>
      </c>
      <c r="AB5" t="n">
        <v>1320492</v>
      </c>
      <c r="AJ5" s="18" t="n">
        <v>256301</v>
      </c>
      <c r="AN5" t="inlineStr">
        <is>
          <t>Gate=1.3205M | DEX_BSC(PancakeSwap)=N/A | src=GeckoTerminal one-shot 2026-08-03 | alpha_vol=$0.256M n=2,191</t>
        </is>
      </c>
      <c r="AP5" t="n">
        <v>256301</v>
      </c>
      <c r="AQ5" t="n">
        <v>2191</v>
      </c>
    </row>
    <row r="6" ht="15" customHeight="1">
      <c r="A6" s="15" t="inlineStr">
        <is>
          <t>2026-07-04</t>
        </is>
      </c>
      <c r="B6" s="16" t="n">
        <v>0.0151692526652024</v>
      </c>
      <c r="C6" s="24">
        <f>IFERROR(B6/B5-1,"")</f>
        <v/>
      </c>
      <c r="D6" s="17" t="n">
        <v>9154051.07804</v>
      </c>
      <c r="E6" s="18" t="n">
        <v>0.4793609303403439</v>
      </c>
      <c r="F6" s="19" t="n">
        <v>0.0001978166666666</v>
      </c>
      <c r="G6" s="19" t="n">
        <v>5e-05</v>
      </c>
      <c r="H6" s="19" t="n">
        <v>0.00062215</v>
      </c>
      <c r="I6" s="20" t="n">
        <v>6</v>
      </c>
      <c r="J6" s="21" t="inlineStr">
        <is>
          <t>FLOAT</t>
        </is>
      </c>
      <c r="L6" s="17" t="n">
        <v>3368438.685</v>
      </c>
      <c r="M6" t="n">
        <v>1.0547</v>
      </c>
      <c r="O6" s="22" t="n">
        <v>1.6161</v>
      </c>
      <c r="P6" s="22" t="n">
        <v>0.9992</v>
      </c>
      <c r="Q6" s="22" t="n">
        <v>0.9212</v>
      </c>
      <c r="R6" s="23">
        <f>IFERROR(O6/P6,"")</f>
        <v/>
      </c>
      <c r="S6" s="23">
        <f>IFERROR(AVERAGE(R4:R6),"")</f>
        <v/>
      </c>
      <c r="T6">
        <f>IFERROR(SLOPE(Q3:Q6,ROW(Q3:Q6)),"")</f>
        <v/>
      </c>
      <c r="U6" s="24">
        <f>IFERROR(O6/O3-1,"")</f>
        <v/>
      </c>
      <c r="V6" s="24">
        <f>IFERROR(P6/P3-1,"")</f>
        <v/>
      </c>
      <c r="AA6" s="21" t="inlineStr">
        <is>
          <t>Gate</t>
        </is>
      </c>
      <c r="AB6" t="n">
        <v>1222066</v>
      </c>
      <c r="AJ6" s="18" t="n">
        <v>2064500</v>
      </c>
      <c r="AN6" t="inlineStr">
        <is>
          <t>Gate=1.2221M | DEX_BSC(PancakeSwap)=N/A | src=GeckoTerminal one-shot 2026-08-03 | alpha_vol=$2.065M n=5,385</t>
        </is>
      </c>
      <c r="AP6" t="n">
        <v>2064500</v>
      </c>
      <c r="AQ6" t="n">
        <v>5385</v>
      </c>
    </row>
    <row r="7" ht="15" customHeight="1">
      <c r="A7" s="15" t="inlineStr">
        <is>
          <t>2026-07-05</t>
        </is>
      </c>
      <c r="B7" s="16" t="n">
        <v>0.0151713984335179</v>
      </c>
      <c r="C7" s="24">
        <f>IFERROR(B7/B6-1,"")</f>
        <v/>
      </c>
      <c r="D7" s="17" t="n">
        <v>8775938.510639999</v>
      </c>
      <c r="E7" s="18" t="n">
        <v>0.4869234392252542</v>
      </c>
      <c r="F7" s="19" t="n">
        <v>0.0001027616666666</v>
      </c>
      <c r="G7" s="19" t="n">
        <v>5e-05</v>
      </c>
      <c r="H7" s="19" t="n">
        <v>0.00026516</v>
      </c>
      <c r="I7" s="20" t="n">
        <v>6</v>
      </c>
      <c r="J7" s="21" t="inlineStr">
        <is>
          <t>FLOAT</t>
        </is>
      </c>
      <c r="L7" s="17" t="n">
        <v>3822812.78385291</v>
      </c>
      <c r="M7" t="n">
        <v>1.1624</v>
      </c>
      <c r="O7" s="22" t="n">
        <v>1.6555</v>
      </c>
      <c r="P7" s="22" t="n">
        <v>1.0342</v>
      </c>
      <c r="Q7" s="22" t="n">
        <v>0.9697</v>
      </c>
      <c r="R7" s="23">
        <f>IFERROR(O7/P7,"")</f>
        <v/>
      </c>
      <c r="S7" s="23">
        <f>IFERROR(AVERAGE(R5:R7),"")</f>
        <v/>
      </c>
      <c r="T7">
        <f>IFERROR(SLOPE(Q3:Q7,ROW(Q3:Q7)),"")</f>
        <v/>
      </c>
      <c r="U7" s="24">
        <f>IFERROR(O7/O4-1,"")</f>
        <v/>
      </c>
      <c r="V7" s="24">
        <f>IFERROR(P7/P4-1,"")</f>
        <v/>
      </c>
      <c r="AA7" s="21" t="inlineStr">
        <is>
          <t>Gate</t>
        </is>
      </c>
      <c r="AB7" t="n">
        <v>220426</v>
      </c>
      <c r="AJ7" s="18" t="n">
        <v>3410181</v>
      </c>
      <c r="AN7" t="inlineStr">
        <is>
          <t>Gate=0.2204M | DEX_BSC(PancakeSwap)=N/A | src=GeckoTerminal one-shot 2026-08-03 | alpha_vol=$3.410M n=7,249</t>
        </is>
      </c>
      <c r="AP7" t="n">
        <v>3410181</v>
      </c>
      <c r="AQ7" t="n">
        <v>7249</v>
      </c>
    </row>
    <row r="8" ht="15" customHeight="1">
      <c r="A8" s="15" t="inlineStr">
        <is>
          <t>2026-07-06</t>
        </is>
      </c>
      <c r="B8" s="16" t="n">
        <v>0.0149669649761218</v>
      </c>
      <c r="C8" s="24">
        <f>IFERROR(B8/B7-1,"")</f>
        <v/>
      </c>
      <c r="D8" s="17" t="n">
        <v>3998636.20652</v>
      </c>
      <c r="E8" s="18" t="n">
        <v>0.4896940602481673</v>
      </c>
      <c r="F8" s="19" t="n">
        <v>5e-05</v>
      </c>
      <c r="G8" s="19" t="n">
        <v>5e-05</v>
      </c>
      <c r="H8" s="19" t="n">
        <v>5e-05</v>
      </c>
      <c r="I8" s="20" t="n">
        <v>6</v>
      </c>
      <c r="J8" s="21" t="inlineStr">
        <is>
          <t>PINNED</t>
        </is>
      </c>
      <c r="K8" t="n">
        <v>1</v>
      </c>
      <c r="L8" s="17" t="n">
        <v>4019035.35353</v>
      </c>
      <c r="M8" t="n">
        <v>1.2074</v>
      </c>
      <c r="O8" s="22" t="n">
        <v>1.6657</v>
      </c>
      <c r="P8" s="22" t="n">
        <v>1.1739</v>
      </c>
      <c r="Q8" s="22" t="n">
        <v>1.1151</v>
      </c>
      <c r="R8" s="23">
        <f>IFERROR(O8/P8,"")</f>
        <v/>
      </c>
      <c r="S8" s="23">
        <f>IFERROR(AVERAGE(R6:R8),"")</f>
        <v/>
      </c>
      <c r="T8" s="23">
        <f>IFERROR(SLOPE(Q4:Q8,ROW(Q4:Q8)),"")</f>
        <v/>
      </c>
      <c r="U8" s="24">
        <f>IFERROR(O8/O5-1,"")</f>
        <v/>
      </c>
      <c r="V8" s="24">
        <f>IFERROR(P8/P5-1,"")</f>
        <v/>
      </c>
      <c r="AA8" s="21" t="inlineStr">
        <is>
          <t>Gate</t>
        </is>
      </c>
      <c r="AB8" t="n">
        <v>379886</v>
      </c>
      <c r="AJ8" s="18" t="n">
        <v>143695</v>
      </c>
      <c r="AN8" t="inlineStr">
        <is>
          <t>Gate=0.3799M | DEX_BSC(PancakeSwap)=N/A | src=GeckoTerminal one-shot 2026-08-03 | alpha_vol=$0.144M n=1,414</t>
        </is>
      </c>
      <c r="AP8" t="n">
        <v>143695</v>
      </c>
      <c r="AQ8" t="n">
        <v>1414</v>
      </c>
    </row>
    <row r="9" ht="15" customHeight="1">
      <c r="A9" s="15" t="inlineStr">
        <is>
          <t>2026-07-07</t>
        </is>
      </c>
      <c r="B9" s="16" t="n">
        <v>0.0149050859345661</v>
      </c>
      <c r="C9" s="24">
        <f>IFERROR(B9/B8-1,"")</f>
        <v/>
      </c>
      <c r="D9" s="17" t="n">
        <v>2234192.34128</v>
      </c>
      <c r="E9" s="18" t="n">
        <v>0.5182033005451896</v>
      </c>
      <c r="F9" s="19" t="n">
        <v>0.0001081583333333</v>
      </c>
      <c r="G9" s="19" t="n">
        <v>5e-05</v>
      </c>
      <c r="H9" s="19" t="n">
        <v>0.0002796</v>
      </c>
      <c r="I9" s="20" t="n">
        <v>6</v>
      </c>
      <c r="J9" s="21" t="inlineStr">
        <is>
          <t>FLOAT</t>
        </is>
      </c>
      <c r="L9" s="17" t="n">
        <v>3919803.9201946</v>
      </c>
      <c r="M9" t="n">
        <v>1.1637</v>
      </c>
      <c r="O9" s="22" t="n">
        <v>1.7207</v>
      </c>
      <c r="P9" s="22" t="n">
        <v>1.373</v>
      </c>
      <c r="Q9" s="22" t="n">
        <v>1.3793</v>
      </c>
      <c r="R9" s="23">
        <f>IFERROR(O9/P9,"")</f>
        <v/>
      </c>
      <c r="S9" s="23">
        <f>IFERROR(AVERAGE(R7:R9),"")</f>
        <v/>
      </c>
      <c r="T9" s="23">
        <f>IFERROR(SLOPE(Q5:Q9,ROW(Q5:Q9)),"")</f>
        <v/>
      </c>
      <c r="U9" s="24">
        <f>IFERROR(O9/O6-1,"")</f>
        <v/>
      </c>
      <c r="V9" s="24">
        <f>IFERROR(P9/P6-1,"")</f>
        <v/>
      </c>
      <c r="AA9" s="21" t="inlineStr">
        <is>
          <t>Gate</t>
        </is>
      </c>
      <c r="AB9" t="n">
        <v>116210</v>
      </c>
      <c r="AJ9" s="18" t="n">
        <v>15239</v>
      </c>
      <c r="AN9" t="inlineStr">
        <is>
          <t>Gate=0.1162M | DEX_BSC(PancakeSwap)=N/A | src=GeckoTerminal one-shot 2026-08-03 | alpha_vol=$0.015M n=201</t>
        </is>
      </c>
      <c r="AP9" t="n">
        <v>15239</v>
      </c>
      <c r="AQ9" t="n">
        <v>201</v>
      </c>
    </row>
    <row r="10" ht="15" customHeight="1">
      <c r="A10" s="15" t="inlineStr">
        <is>
          <t>2026-07-08</t>
        </is>
      </c>
      <c r="B10" s="16" t="n">
        <v>0.0147307021595668</v>
      </c>
      <c r="C10" s="24">
        <f>IFERROR(B10/B9-1,"")</f>
        <v/>
      </c>
      <c r="D10" s="17" t="n">
        <v>2039666.02208</v>
      </c>
      <c r="E10" s="18" t="n">
        <v>0.5287559261604627</v>
      </c>
      <c r="F10" s="19" t="n">
        <v>7.325333333333333e-05</v>
      </c>
      <c r="G10" s="19" t="n">
        <v>5e-05</v>
      </c>
      <c r="H10" s="19" t="n">
        <v>0.00015766</v>
      </c>
      <c r="I10" s="20" t="n">
        <v>6</v>
      </c>
      <c r="J10" s="21" t="inlineStr">
        <is>
          <t>FLOAT</t>
        </is>
      </c>
      <c r="L10" s="17" t="n">
        <v>3610128.86241584</v>
      </c>
      <c r="M10" t="n">
        <v>1.0346</v>
      </c>
      <c r="O10" s="22" t="n">
        <v>1.6935</v>
      </c>
      <c r="P10" s="22" t="n">
        <v>1.6788</v>
      </c>
      <c r="Q10" s="22" t="n">
        <v>1.7495</v>
      </c>
      <c r="R10" s="23">
        <f>IFERROR(O10/P10,"")</f>
        <v/>
      </c>
      <c r="S10" s="23">
        <f>IFERROR(AVERAGE(R8:R10),"")</f>
        <v/>
      </c>
      <c r="T10" s="23">
        <f>IFERROR(SLOPE(Q6:Q10,ROW(Q6:Q10)),"")</f>
        <v/>
      </c>
      <c r="U10" s="24">
        <f>IFERROR(O10/O7-1,"")</f>
        <v/>
      </c>
      <c r="V10" s="24">
        <f>IFERROR(P10/P7-1,"")</f>
        <v/>
      </c>
      <c r="AA10" s="21" t="inlineStr">
        <is>
          <t>Gate</t>
        </is>
      </c>
      <c r="AB10" t="n">
        <v>121348</v>
      </c>
      <c r="AJ10" s="18" t="n">
        <v>2083</v>
      </c>
      <c r="AN10" s="21" t="inlineStr">
        <is>
          <t>Gate=0.1213M | DEX_BSC(PancakeSwap)=N/A | src=GeckoTerminal one-shot 2026-08-03 | alpha_vol=$0.002M n=45</t>
        </is>
      </c>
      <c r="AP10" t="n">
        <v>2083</v>
      </c>
      <c r="AQ10" t="n">
        <v>45</v>
      </c>
    </row>
    <row r="11" ht="15" customHeight="1">
      <c r="A11" s="15" t="inlineStr">
        <is>
          <t>2026-07-09</t>
        </is>
      </c>
      <c r="B11" s="16" t="n">
        <v>0.0149165190488646</v>
      </c>
      <c r="C11" s="24">
        <f>IFERROR(B11/B10-1,"")</f>
        <v/>
      </c>
      <c r="D11" s="17" t="n">
        <v>1585348.52764</v>
      </c>
      <c r="E11" s="18" t="n">
        <v>0.4834225092042596</v>
      </c>
      <c r="F11" s="19" t="n">
        <v>5e-05</v>
      </c>
      <c r="G11" s="19" t="n">
        <v>5e-05</v>
      </c>
      <c r="H11" s="19" t="n">
        <v>5e-05</v>
      </c>
      <c r="I11" s="20" t="n">
        <v>6</v>
      </c>
      <c r="J11" t="inlineStr">
        <is>
          <t>PINNED</t>
        </is>
      </c>
      <c r="K11" t="n">
        <v>1</v>
      </c>
      <c r="L11" s="17" t="n">
        <v>3703377.95163</v>
      </c>
      <c r="M11" t="n">
        <v>1.0258</v>
      </c>
      <c r="O11" s="22" t="n">
        <v>1.649</v>
      </c>
      <c r="P11" s="22" t="n">
        <v>1.777</v>
      </c>
      <c r="Q11" s="22" t="n">
        <v>2.0139</v>
      </c>
      <c r="R11" s="23">
        <f>IFERROR(O11/P11,"")</f>
        <v/>
      </c>
      <c r="S11" s="23">
        <f>IFERROR(AVERAGE(R9:R11),"")</f>
        <v/>
      </c>
      <c r="T11" s="23">
        <f>IFERROR(SLOPE(Q7:Q11,ROW(Q7:Q11)),"")</f>
        <v/>
      </c>
      <c r="U11" s="24">
        <f>IFERROR(O11/O8-1,"")</f>
        <v/>
      </c>
      <c r="V11" s="24">
        <f>IFERROR(P11/P8-1,"")</f>
        <v/>
      </c>
      <c r="W11" s="21" t="n"/>
      <c r="AA11" s="21" t="inlineStr">
        <is>
          <t>Gate</t>
        </is>
      </c>
      <c r="AB11" t="n">
        <v>85543</v>
      </c>
      <c r="AJ11" s="18" t="n">
        <v>10180</v>
      </c>
      <c r="AN11" s="21" t="inlineStr">
        <is>
          <t>Gate=0.0855M | DEX_BSC(PancakeSwap)=N/A | src=GeckoTerminal one-shot 2026-08-03 | alpha_vol=$0.010M n=150</t>
        </is>
      </c>
      <c r="AP11" t="n">
        <v>10180</v>
      </c>
      <c r="AQ11" t="n">
        <v>150</v>
      </c>
    </row>
    <row r="12" ht="15" customHeight="1">
      <c r="A12" s="15" t="inlineStr">
        <is>
          <t>2026-07-10</t>
        </is>
      </c>
      <c r="B12" s="16" t="n">
        <v>0.015688121367546</v>
      </c>
      <c r="C12" s="24">
        <f>IFERROR(B12/B11-1,"")</f>
        <v/>
      </c>
      <c r="D12" s="17" t="n">
        <v>3092893.51746</v>
      </c>
      <c r="E12" s="18" t="n">
        <v>0.4726014443408847</v>
      </c>
      <c r="F12" s="19" t="n">
        <v>0.0002229483333333</v>
      </c>
      <c r="G12" s="19" t="n">
        <v>5e-05</v>
      </c>
      <c r="H12" s="19" t="n">
        <v>0.0003584</v>
      </c>
      <c r="I12" s="20" t="n">
        <v>6</v>
      </c>
      <c r="J12" t="inlineStr">
        <is>
          <t>FLOAT</t>
        </is>
      </c>
      <c r="L12" s="17" t="n">
        <v>3785021.2347584</v>
      </c>
      <c r="M12" t="n">
        <v>1.0351</v>
      </c>
      <c r="O12" s="22" t="n">
        <v>1.6521</v>
      </c>
      <c r="P12" s="22" t="n">
        <v>1.8074</v>
      </c>
      <c r="Q12" s="22" t="n">
        <v>2.1027</v>
      </c>
      <c r="R12" s="23">
        <f>IFERROR(O12/P12,"")</f>
        <v/>
      </c>
      <c r="S12" s="23">
        <f>IFERROR(AVERAGE(R10:R12),"")</f>
        <v/>
      </c>
      <c r="T12" s="23">
        <f>IFERROR(SLOPE(Q8:Q12,ROW(Q8:Q12)),"")</f>
        <v/>
      </c>
      <c r="U12" s="24">
        <f>IFERROR(O12/O9-1,"")</f>
        <v/>
      </c>
      <c r="V12" s="24">
        <f>IFERROR(P12/P9-1,"")</f>
        <v/>
      </c>
      <c r="W12" s="21" t="n"/>
      <c r="AA12" s="21" t="inlineStr">
        <is>
          <t>Gate</t>
        </is>
      </c>
      <c r="AB12" t="n">
        <v>137097</v>
      </c>
      <c r="AJ12" s="18" t="n">
        <v>17739</v>
      </c>
      <c r="AN12" t="inlineStr">
        <is>
          <t>Gate=0.1371M | DEX_BSC(PancakeSwap)=N/A | src=GeckoTerminal one-shot 2026-08-03 | alpha_vol=$0.018M n=225</t>
        </is>
      </c>
      <c r="AP12" t="n">
        <v>17739</v>
      </c>
      <c r="AQ12" t="n">
        <v>225</v>
      </c>
    </row>
    <row r="13" ht="15" customHeight="1">
      <c r="A13" s="15" t="inlineStr">
        <is>
          <t>2026-07-11</t>
        </is>
      </c>
      <c r="B13" s="16" t="n">
        <v>0.0149643088402328</v>
      </c>
      <c r="C13" s="24">
        <f>IFERROR(B13/B12-1,"")</f>
        <v/>
      </c>
      <c r="D13" s="17" t="n">
        <v>5087129.7194</v>
      </c>
      <c r="E13" s="18" t="n">
        <v>0.4201435632151012</v>
      </c>
      <c r="F13" s="19" t="n">
        <v>0.00028204</v>
      </c>
      <c r="G13" s="19" t="n">
        <v>5e-05</v>
      </c>
      <c r="H13" s="19" t="n">
        <v>0.00046765</v>
      </c>
      <c r="I13" s="20" t="n">
        <v>6</v>
      </c>
      <c r="J13" t="inlineStr">
        <is>
          <t>FLOAT</t>
        </is>
      </c>
      <c r="L13" s="17" t="n">
        <v>4039535.29168</v>
      </c>
      <c r="M13" t="n">
        <v>1.0908</v>
      </c>
      <c r="O13" s="22" t="n">
        <v>1.6568</v>
      </c>
      <c r="P13" s="22" t="n">
        <v>1.8835</v>
      </c>
      <c r="Q13" s="22" t="n">
        <v>2.1358</v>
      </c>
      <c r="R13" s="23">
        <f>IFERROR(O13/P13,"")</f>
        <v/>
      </c>
      <c r="S13" s="23">
        <f>IFERROR(AVERAGE(R11:R13),"")</f>
        <v/>
      </c>
      <c r="T13" s="23">
        <f>IFERROR(SLOPE(Q9:Q13,ROW(Q9:Q13)),"")</f>
        <v/>
      </c>
      <c r="U13" s="24">
        <f>IFERROR(O13/O10-1,"")</f>
        <v/>
      </c>
      <c r="V13" s="24">
        <f>IFERROR(P13/P10-1,"")</f>
        <v/>
      </c>
      <c r="W13" s="21" t="n"/>
      <c r="AA13" s="21" t="inlineStr">
        <is>
          <t>Gate</t>
        </is>
      </c>
      <c r="AB13" t="n">
        <v>356547</v>
      </c>
      <c r="AJ13" s="18" t="n">
        <v>38235</v>
      </c>
      <c r="AN13" t="inlineStr">
        <is>
          <t>Gate=0.3565M | DEX_BSC(PancakeSwap)=N/A | src=GeckoTerminal one-shot 2026-08-03 | alpha_vol=$0.038M n=509</t>
        </is>
      </c>
      <c r="AP13" t="n">
        <v>38235</v>
      </c>
      <c r="AQ13" t="n">
        <v>509</v>
      </c>
    </row>
    <row r="14" ht="15" customHeight="1">
      <c r="A14" s="15" t="inlineStr">
        <is>
          <t>2026-07-12</t>
        </is>
      </c>
      <c r="B14" s="16" t="n">
        <v>0.0156643305572706</v>
      </c>
      <c r="C14" s="24">
        <f>IFERROR(B14/B13-1,"")</f>
        <v/>
      </c>
      <c r="D14" s="17" t="n">
        <v>7737632.26554</v>
      </c>
      <c r="E14" s="18" t="n">
        <v>0.4939444565350427</v>
      </c>
      <c r="F14" s="19" t="n">
        <v>0.0001749233333333</v>
      </c>
      <c r="G14" s="19" t="n">
        <v>5.781e-05</v>
      </c>
      <c r="H14" s="19" t="n">
        <v>0.00023305</v>
      </c>
      <c r="I14" s="20" t="n">
        <v>6</v>
      </c>
      <c r="J14" t="inlineStr">
        <is>
          <t>FLOAT</t>
        </is>
      </c>
      <c r="L14" s="17" t="n">
        <v>3648049.4052</v>
      </c>
      <c r="M14" t="n">
        <v>0.9925</v>
      </c>
      <c r="O14" s="22" t="n">
        <v>1.7032</v>
      </c>
      <c r="P14" s="22" t="n">
        <v>1.694</v>
      </c>
      <c r="Q14" s="22" t="n">
        <v>1.7571</v>
      </c>
      <c r="R14" s="23">
        <f>IFERROR(O14/P14,"")</f>
        <v/>
      </c>
      <c r="S14" s="23">
        <f>IFERROR(AVERAGE(R12:R14),"")</f>
        <v/>
      </c>
      <c r="T14" s="23">
        <f>IFERROR(SLOPE(Q10:Q14,ROW(Q10:Q14)),"")</f>
        <v/>
      </c>
      <c r="U14" s="24">
        <f>IFERROR(O14/O11-1,"")</f>
        <v/>
      </c>
      <c r="V14" s="24">
        <f>IFERROR(P14/P11-1,"")</f>
        <v/>
      </c>
      <c r="W14" s="21" t="n"/>
      <c r="AA14" s="21" t="inlineStr">
        <is>
          <t>Gate</t>
        </is>
      </c>
      <c r="AB14" t="n">
        <v>123180</v>
      </c>
      <c r="AJ14" s="18" t="n">
        <v>48308</v>
      </c>
      <c r="AN14" t="inlineStr">
        <is>
          <t>Gate=0.1232M | DEX_BSC(PancakeSwap)=N/A | src=GeckoTerminal one-shot 2026-08-03 | alpha_vol=$0.048M n=703</t>
        </is>
      </c>
      <c r="AP14" t="n">
        <v>48308</v>
      </c>
      <c r="AQ14" t="n">
        <v>703</v>
      </c>
    </row>
    <row r="15" ht="15" customHeight="1">
      <c r="A15" s="15" t="inlineStr">
        <is>
          <t>2026-07-13</t>
        </is>
      </c>
      <c r="B15" s="16" t="n">
        <v>0.0150097239324522</v>
      </c>
      <c r="C15" s="24">
        <f>IFERROR(B15/B14-1,"")</f>
        <v/>
      </c>
      <c r="D15" s="17" t="n">
        <v>5876711.16144</v>
      </c>
      <c r="E15" s="18" t="n">
        <v>0.4754047375273049</v>
      </c>
      <c r="F15" s="19" t="n">
        <v>0.00016166</v>
      </c>
      <c r="G15" s="19" t="n">
        <v>5e-05</v>
      </c>
      <c r="H15" s="19" t="n">
        <v>0.00027553</v>
      </c>
      <c r="I15" s="20" t="n">
        <v>6</v>
      </c>
      <c r="J15" t="inlineStr">
        <is>
          <t>FLOAT</t>
        </is>
      </c>
      <c r="L15" s="17" t="n">
        <v>4181571.77787</v>
      </c>
      <c r="M15" t="n">
        <v>1.1291</v>
      </c>
      <c r="O15" s="22" t="n">
        <v>1.7488</v>
      </c>
      <c r="P15" s="22" t="n">
        <v>1.2676</v>
      </c>
      <c r="Q15" s="22" t="n">
        <v>1.2427</v>
      </c>
      <c r="R15" s="23">
        <f>IFERROR(O15/P15,"")</f>
        <v/>
      </c>
      <c r="S15" s="23">
        <f>IFERROR(AVERAGE(R13:R15),"")</f>
        <v/>
      </c>
      <c r="T15" s="23">
        <f>IFERROR(SLOPE(Q11:Q15,ROW(Q11:Q15)),"")</f>
        <v/>
      </c>
      <c r="U15" s="24">
        <f>IFERROR(O15/O12-1,"")</f>
        <v/>
      </c>
      <c r="V15" s="24">
        <f>IFERROR(P15/P12-1,"")</f>
        <v/>
      </c>
      <c r="W15" s="21" t="n"/>
      <c r="AA15" s="21" t="inlineStr">
        <is>
          <t>Gate</t>
        </is>
      </c>
      <c r="AB15" t="n">
        <v>333231</v>
      </c>
      <c r="AJ15" s="18" t="n">
        <v>25205</v>
      </c>
      <c r="AL15" s="21" t="n"/>
      <c r="AN15" t="inlineStr">
        <is>
          <t>Gate=0.3332M | DEX_BSC(PancakeSwap)=N/A | src=GeckoTerminal one-shot 2026-08-03 | alpha_vol=$0.025M n=378</t>
        </is>
      </c>
      <c r="AP15" t="n">
        <v>25205</v>
      </c>
      <c r="AQ15" t="n">
        <v>378</v>
      </c>
    </row>
    <row r="16" ht="15" customHeight="1">
      <c r="A16" s="15" t="inlineStr">
        <is>
          <t>2026-07-14</t>
        </is>
      </c>
      <c r="B16" s="16" t="n">
        <v>0.0152035500639097</v>
      </c>
      <c r="C16" s="24">
        <f>IFERROR(B16/B15-1,"")</f>
        <v/>
      </c>
      <c r="D16" s="17" t="n">
        <v>2231442.34452</v>
      </c>
      <c r="E16" s="18" t="n">
        <v>0.4851628254050874</v>
      </c>
      <c r="F16" s="19" t="n">
        <v>5e-05</v>
      </c>
      <c r="G16" s="19" t="n">
        <v>5e-05</v>
      </c>
      <c r="H16" s="19" t="n">
        <v>5e-05</v>
      </c>
      <c r="I16" s="20" t="n">
        <v>6</v>
      </c>
      <c r="J16" t="inlineStr">
        <is>
          <t>PINNED</t>
        </is>
      </c>
      <c r="K16" t="n">
        <v>1</v>
      </c>
      <c r="L16" s="17" t="n">
        <v>3966026.87273247</v>
      </c>
      <c r="M16" t="n">
        <v>1.0592</v>
      </c>
      <c r="O16" s="22" t="n">
        <v>1.8127</v>
      </c>
      <c r="P16" s="22" t="n">
        <v>1.2889</v>
      </c>
      <c r="Q16" s="22" t="n">
        <v>1.2168</v>
      </c>
      <c r="R16" s="23">
        <f>IFERROR(O16/P16,"")</f>
        <v/>
      </c>
      <c r="S16" s="23">
        <f>IFERROR(AVERAGE(R14:R16),"")</f>
        <v/>
      </c>
      <c r="T16" s="23">
        <f>IFERROR(SLOPE(Q12:Q16,ROW(Q12:Q16)),"")</f>
        <v/>
      </c>
      <c r="U16" s="24">
        <f>IFERROR(O16/O13-1,"")</f>
        <v/>
      </c>
      <c r="V16" s="24">
        <f>IFERROR(P16/P13-1,"")</f>
        <v/>
      </c>
      <c r="W16" s="21" t="n"/>
      <c r="AA16" s="21" t="inlineStr">
        <is>
          <t>Gate</t>
        </is>
      </c>
      <c r="AB16" t="n">
        <v>78360</v>
      </c>
      <c r="AJ16" s="18" t="n">
        <v>11109</v>
      </c>
      <c r="AN16" t="inlineStr">
        <is>
          <t>Gate=0.0784M | DEX_BSC(PancakeSwap)=N/A | src=GeckoTerminal one-shot 2026-08-03 | alpha_vol=$0.011M n=152</t>
        </is>
      </c>
      <c r="AP16" t="n">
        <v>11109</v>
      </c>
      <c r="AQ16" t="n">
        <v>152</v>
      </c>
    </row>
    <row r="17" ht="15" customHeight="1">
      <c r="A17" s="15" t="inlineStr">
        <is>
          <t>2026-07-15</t>
        </is>
      </c>
      <c r="B17" s="16" t="n">
        <v>0.0153643680398057</v>
      </c>
      <c r="C17" s="24">
        <f>IFERROR(B17/B16-1,"")</f>
        <v/>
      </c>
      <c r="D17" s="17" t="n">
        <v>15102738.57204</v>
      </c>
      <c r="E17" s="18" t="n">
        <v>0.5092075492693098</v>
      </c>
      <c r="F17" s="19" t="n">
        <v>0.0001101583333333</v>
      </c>
      <c r="G17" s="19" t="n">
        <v>5e-05</v>
      </c>
      <c r="H17" s="19" t="n">
        <v>0.00041095</v>
      </c>
      <c r="I17" s="20" t="n">
        <v>6</v>
      </c>
      <c r="J17" t="inlineStr">
        <is>
          <t>FLOAT</t>
        </is>
      </c>
      <c r="L17" s="17" t="n">
        <v>4045709.36016</v>
      </c>
      <c r="M17" s="25" t="n">
        <v>1.0636</v>
      </c>
      <c r="O17" s="22" t="n">
        <v>1.8834</v>
      </c>
      <c r="P17" s="22" t="n">
        <v>1.4618</v>
      </c>
      <c r="Q17" s="22" t="n">
        <v>1.4814</v>
      </c>
      <c r="R17" s="23">
        <f>IFERROR(O17/P17,"")</f>
        <v/>
      </c>
      <c r="S17" s="23">
        <f>IFERROR(AVERAGE(R15:R17),"")</f>
        <v/>
      </c>
      <c r="T17" s="23">
        <f>IFERROR(SLOPE(Q13:Q17,ROW(Q13:Q17)),"")</f>
        <v/>
      </c>
      <c r="U17" s="24">
        <f>IFERROR(O17/O14-1,"")</f>
        <v/>
      </c>
      <c r="V17" s="24">
        <f>IFERROR(P17/P14-1,"")</f>
        <v/>
      </c>
      <c r="W17" s="21" t="n"/>
      <c r="AA17" s="21" t="inlineStr">
        <is>
          <t>Gate</t>
        </is>
      </c>
      <c r="AB17" t="n">
        <v>88198</v>
      </c>
      <c r="AJ17" s="18" t="n">
        <v>14836</v>
      </c>
      <c r="AN17" t="inlineStr">
        <is>
          <t>Gate=0.0882M | DEX_BSC(PancakeSwap)=N/A | src=GeckoTerminal one-shot 2026-08-03 | alpha_vol=$0.015M n=199</t>
        </is>
      </c>
      <c r="AP17" t="n">
        <v>14836</v>
      </c>
      <c r="AQ17" t="n">
        <v>199</v>
      </c>
    </row>
    <row r="18" ht="15" customHeight="1">
      <c r="A18" s="15" t="inlineStr">
        <is>
          <t>2026-07-16</t>
        </is>
      </c>
      <c r="B18" s="16" t="n">
        <v>0.0154595186864351</v>
      </c>
      <c r="C18" s="24">
        <f>IFERROR(B18/B17-1,"")</f>
        <v/>
      </c>
      <c r="D18" s="17" t="n">
        <v>3673663.97688</v>
      </c>
      <c r="E18" s="18" t="n">
        <v>0.4874717761027368</v>
      </c>
      <c r="F18" s="19" t="n">
        <v>0.0001210316666666</v>
      </c>
      <c r="G18" s="19" t="n">
        <v>5e-05</v>
      </c>
      <c r="H18" s="19" t="n">
        <v>0.0002721</v>
      </c>
      <c r="I18" s="20" t="n">
        <v>6</v>
      </c>
      <c r="J18" t="inlineStr">
        <is>
          <t>FLOAT</t>
        </is>
      </c>
      <c r="L18" s="17" t="n">
        <v>6125332.04553</v>
      </c>
      <c r="M18" s="25" t="n">
        <v>1.5822</v>
      </c>
      <c r="O18" s="22" t="n">
        <v>1.4154</v>
      </c>
      <c r="P18" s="22" t="n">
        <v>1.5615</v>
      </c>
      <c r="Q18" s="22" t="n">
        <v>1.4667</v>
      </c>
      <c r="R18" s="23">
        <f>IFERROR(O18/P18,"")</f>
        <v/>
      </c>
      <c r="S18" s="23">
        <f>IFERROR(AVERAGE(R16:R18),"")</f>
        <v/>
      </c>
      <c r="T18" s="23">
        <f>IFERROR(SLOPE(Q14:Q18,ROW(Q14:Q18)),"")</f>
        <v/>
      </c>
      <c r="U18" s="24">
        <f>IFERROR(O18/O15-1,"")</f>
        <v/>
      </c>
      <c r="V18" s="24">
        <f>IFERROR(P18/P15-1,"")</f>
        <v/>
      </c>
      <c r="W18" s="21" t="n"/>
      <c r="AA18" s="21" t="inlineStr">
        <is>
          <t>Gate</t>
        </is>
      </c>
      <c r="AB18" t="n">
        <v>91266</v>
      </c>
      <c r="AJ18" s="18" t="n">
        <v>1236751</v>
      </c>
      <c r="AN18" t="inlineStr">
        <is>
          <t>Gate=0.0913M | DEX_BSC(PancakeSwap)=N/A | src=GeckoTerminal one-shot 2026-08-03 | alpha_vol=$1.237M n=668</t>
        </is>
      </c>
      <c r="AP18" t="n">
        <v>1236751</v>
      </c>
      <c r="AQ18" t="n">
        <v>668</v>
      </c>
    </row>
    <row r="19" ht="15" customHeight="1">
      <c r="A19" s="15" t="inlineStr">
        <is>
          <t>2026-07-17</t>
        </is>
      </c>
      <c r="B19" s="16" t="n">
        <v>0.0169219684626267</v>
      </c>
      <c r="C19" s="24">
        <f>IFERROR(B19/B18-1,"")</f>
        <v/>
      </c>
      <c r="D19" s="17" t="n">
        <v>24678006.63704</v>
      </c>
      <c r="E19" s="18" t="n">
        <v>0.4971711271568416</v>
      </c>
      <c r="F19" s="19" t="n">
        <v>0.0002538166666666</v>
      </c>
      <c r="G19" s="19" t="n">
        <v>0.00011075</v>
      </c>
      <c r="H19" s="19" t="n">
        <v>0.00035747</v>
      </c>
      <c r="I19" s="20" t="n">
        <v>6</v>
      </c>
      <c r="J19" s="21" t="inlineStr">
        <is>
          <t>FLOAT</t>
        </is>
      </c>
      <c r="L19" s="17" t="n">
        <v>6122375.81934</v>
      </c>
      <c r="M19" s="25" t="n">
        <v>1.5528</v>
      </c>
      <c r="O19" s="22" t="n">
        <v>1.4507</v>
      </c>
      <c r="P19" s="22" t="n">
        <v>1.5628</v>
      </c>
      <c r="Q19" s="22" t="n">
        <v>1.4969</v>
      </c>
      <c r="R19" s="23">
        <f>IFERROR(O19/P19,"")</f>
        <v/>
      </c>
      <c r="S19" s="23">
        <f>IFERROR(AVERAGE(R17:R19),"")</f>
        <v/>
      </c>
      <c r="T19" s="23">
        <f>IFERROR(SLOPE(Q15:Q19,ROW(Q15:Q19)),"")</f>
        <v/>
      </c>
      <c r="U19" s="24">
        <f>IFERROR(O19/O16-1,"")</f>
        <v/>
      </c>
      <c r="V19" s="24">
        <f>IFERROR(P19/P16-1,"")</f>
        <v/>
      </c>
      <c r="W19" s="21" t="n"/>
      <c r="AA19" s="21" t="inlineStr">
        <is>
          <t>Gate</t>
        </is>
      </c>
      <c r="AB19" t="n">
        <v>119616</v>
      </c>
      <c r="AJ19" s="18" t="n">
        <v>69050</v>
      </c>
      <c r="AN19" t="inlineStr">
        <is>
          <t>Gate=0.1196M | DEX_BSC(PancakeSwap)=N/A | src=GeckoTerminal one-shot 2026-08-03 | alpha_vol=$0.069M n=770</t>
        </is>
      </c>
      <c r="AP19" t="n">
        <v>69050</v>
      </c>
      <c r="AQ19" t="n">
        <v>770</v>
      </c>
    </row>
    <row r="20" ht="15" customHeight="1">
      <c r="A20" s="15" t="inlineStr">
        <is>
          <t>2026-07-18</t>
        </is>
      </c>
      <c r="B20" s="16" t="n">
        <v>0.0171765164045538</v>
      </c>
      <c r="C20" s="24">
        <f>IFERROR(B20/B19-1,"")</f>
        <v/>
      </c>
      <c r="D20" s="17" t="n">
        <v>8491991.76338</v>
      </c>
      <c r="E20" s="18" t="n">
        <v>0.4962701448405486</v>
      </c>
      <c r="F20" s="19" t="n">
        <v>0.0001529483333333</v>
      </c>
      <c r="G20" s="19" t="n">
        <v>5e-05</v>
      </c>
      <c r="H20" s="19" t="n">
        <v>0.00037102</v>
      </c>
      <c r="I20" s="20" t="n">
        <v>6</v>
      </c>
      <c r="J20" t="inlineStr">
        <is>
          <t>FLOAT</t>
        </is>
      </c>
      <c r="L20" s="17" t="n">
        <v>7178207.5735595</v>
      </c>
      <c r="M20" s="25" t="n">
        <v>1.7979</v>
      </c>
      <c r="O20" s="22" t="n">
        <v>1.4419</v>
      </c>
      <c r="P20" s="22" t="n">
        <v>1.2696</v>
      </c>
      <c r="Q20" s="22" t="n">
        <v>1.2841</v>
      </c>
      <c r="R20" s="23">
        <f>IFERROR(O20/P20,"")</f>
        <v/>
      </c>
      <c r="S20" s="23">
        <f>IFERROR(AVERAGE(R18:R20),"")</f>
        <v/>
      </c>
      <c r="T20" s="23">
        <f>IFERROR(SLOPE(Q16:Q20,ROW(Q16:Q20)),"")</f>
        <v/>
      </c>
      <c r="U20" s="24">
        <f>IFERROR(O20/O17-1,"")</f>
        <v/>
      </c>
      <c r="V20" s="24">
        <f>IFERROR(P20/P17-1,"")</f>
        <v/>
      </c>
      <c r="AA20" s="21" t="inlineStr">
        <is>
          <t>Gate</t>
        </is>
      </c>
      <c r="AB20" t="n">
        <v>75888</v>
      </c>
      <c r="AJ20" s="18" t="n">
        <v>67415</v>
      </c>
      <c r="AN20" t="inlineStr">
        <is>
          <t>Gate=0.0759M | DEX_BSC(PancakeSwap)=N/A | src=GeckoTerminal one-shot 2026-08-03 | alpha_vol=$0.067M n=575</t>
        </is>
      </c>
      <c r="AP20" t="n">
        <v>67415</v>
      </c>
      <c r="AQ20" t="n">
        <v>575</v>
      </c>
    </row>
    <row r="21" ht="15" customHeight="1">
      <c r="A21" s="15" t="inlineStr">
        <is>
          <t>2026-07-19</t>
        </is>
      </c>
      <c r="B21" s="16" t="n">
        <v>0.0173322098095639</v>
      </c>
      <c r="C21" s="24">
        <f>IFERROR(B21/B20-1,"")</f>
        <v/>
      </c>
      <c r="D21" s="17" t="n">
        <v>16647813.36078</v>
      </c>
      <c r="E21" s="18" t="n">
        <v>0.4870963550740638</v>
      </c>
      <c r="F21" s="19" t="n">
        <v>0.0001377833333333</v>
      </c>
      <c r="G21" s="19" t="n">
        <v>5e-05</v>
      </c>
      <c r="H21" s="19" t="n">
        <v>0.00054775</v>
      </c>
      <c r="I21" s="20" t="n">
        <v>6</v>
      </c>
      <c r="J21" t="inlineStr">
        <is>
          <t>FLOAT</t>
        </is>
      </c>
      <c r="L21" s="17" t="n">
        <v>6982667.8074</v>
      </c>
      <c r="M21" s="25" t="n">
        <v>1.733</v>
      </c>
      <c r="O21" s="22" t="n">
        <v>1.4585</v>
      </c>
      <c r="P21" s="22" t="n">
        <v>1.2262</v>
      </c>
      <c r="Q21" s="22" t="n">
        <v>1.1753</v>
      </c>
      <c r="R21" s="23">
        <f>IFERROR(O21/P21,"")</f>
        <v/>
      </c>
      <c r="S21" s="23">
        <f>IFERROR(AVERAGE(R19:R21),"")</f>
        <v/>
      </c>
      <c r="T21" s="23">
        <f>IFERROR(SLOPE(Q17:Q21,ROW(Q17:Q21)),"")</f>
        <v/>
      </c>
      <c r="U21" s="24">
        <f>IFERROR(O21/O18-1,"")</f>
        <v/>
      </c>
      <c r="V21" s="24">
        <f>IFERROR(P21/P18-1,"")</f>
        <v/>
      </c>
      <c r="AA21" s="21" t="inlineStr">
        <is>
          <t>Gate</t>
        </is>
      </c>
      <c r="AB21" t="n">
        <v>77524</v>
      </c>
      <c r="AJ21" s="18" t="n">
        <v>22634</v>
      </c>
      <c r="AN21" t="inlineStr">
        <is>
          <t>Gate=0.0775M | DEX_BSC(PancakeSwap)=N/A | src=GeckoTerminal one-shot 2026-08-03 | alpha_vol=$0.023M n=228</t>
        </is>
      </c>
      <c r="AP21" t="n">
        <v>22634</v>
      </c>
      <c r="AQ21" t="n">
        <v>228</v>
      </c>
    </row>
    <row r="22" ht="15" customHeight="1">
      <c r="A22" s="15" t="inlineStr">
        <is>
          <t>2026-07-20</t>
        </is>
      </c>
      <c r="B22" s="16" t="n">
        <v>0.0158338033902253</v>
      </c>
      <c r="C22" s="24">
        <f>IFERROR(B22/B21-1,"")</f>
        <v/>
      </c>
      <c r="D22" s="17" t="n">
        <v>7550669.74948</v>
      </c>
      <c r="E22" s="18" t="n">
        <v>0.4496955742141414</v>
      </c>
      <c r="F22" s="19" t="n">
        <v>0.0001454166666666</v>
      </c>
      <c r="G22" s="19" t="n">
        <v>5e-05</v>
      </c>
      <c r="H22" s="19" t="n">
        <v>0.00048538</v>
      </c>
      <c r="I22" s="20" t="n">
        <v>6</v>
      </c>
      <c r="J22" t="inlineStr">
        <is>
          <t>FLOAT</t>
        </is>
      </c>
      <c r="L22" s="17" t="n">
        <v>4702280.4471575</v>
      </c>
      <c r="M22" s="25" t="n">
        <v>1.1632</v>
      </c>
      <c r="O22" s="22" t="n">
        <v>1.8937</v>
      </c>
      <c r="P22" s="22" t="n">
        <v>1.1349</v>
      </c>
      <c r="Q22" s="22" t="n">
        <v>1.0803</v>
      </c>
      <c r="R22" s="23">
        <f>IFERROR(O22/P22,"")</f>
        <v/>
      </c>
      <c r="S22" s="23">
        <f>IFERROR(AVERAGE(R20:R22),"")</f>
        <v/>
      </c>
      <c r="T22" s="23">
        <f>IFERROR(SLOPE(Q18:Q22,ROW(Q18:Q22)),"")</f>
        <v/>
      </c>
      <c r="U22" s="24">
        <f>IFERROR(O22/O19-1,"")</f>
        <v/>
      </c>
      <c r="V22" s="24">
        <f>IFERROR(P22/P19-1,"")</f>
        <v/>
      </c>
      <c r="AA22" s="21" t="inlineStr">
        <is>
          <t>Gate+dex_bsc</t>
        </is>
      </c>
      <c r="AB22" t="n">
        <v>1687010</v>
      </c>
      <c r="AJ22" s="18" t="n">
        <v>0.0423</v>
      </c>
      <c r="AN22" t="inlineStr">
        <is>
          <t>Gate=0.1552M | DEX_BSC(PancakeSwap)=1.5318M | src=GeckoTerminal one-shot 2026-08-03 | alpha_vol=$0.065M n=567 suspect=0.042x</t>
        </is>
      </c>
      <c r="AP22" t="n">
        <v>64824</v>
      </c>
      <c r="AQ22" t="n">
        <v>567</v>
      </c>
    </row>
    <row r="23" ht="15" customHeight="1">
      <c r="A23" s="15" t="inlineStr">
        <is>
          <t>2026-07-21</t>
        </is>
      </c>
      <c r="B23" s="16" t="n">
        <v>0.0150939456764887</v>
      </c>
      <c r="C23" s="24">
        <f>IFERROR(B23/B22-1,"")</f>
        <v/>
      </c>
      <c r="D23" s="17" t="n">
        <v>1919723.54124</v>
      </c>
      <c r="E23" s="18" t="n">
        <v>0.4756811771186703</v>
      </c>
      <c r="F23" s="19" t="n">
        <v>5e-05</v>
      </c>
      <c r="G23" s="19" t="n">
        <v>5e-05</v>
      </c>
      <c r="H23" s="19" t="n">
        <v>5e-05</v>
      </c>
      <c r="I23" s="20" t="n">
        <v>6</v>
      </c>
      <c r="J23" t="inlineStr">
        <is>
          <t>PINNED</t>
        </is>
      </c>
      <c r="K23" t="n">
        <v>1</v>
      </c>
      <c r="L23" s="17" t="n">
        <v>3924816.43765718</v>
      </c>
      <c r="M23" s="25" t="n">
        <v>0.9709</v>
      </c>
      <c r="O23" s="22" t="n">
        <v>1.9359</v>
      </c>
      <c r="P23" s="22" t="n">
        <v>1.2272</v>
      </c>
      <c r="Q23" s="22" t="n">
        <v>1.1482</v>
      </c>
      <c r="R23" s="23">
        <f>IFERROR(O23/P23,"")</f>
        <v/>
      </c>
      <c r="S23" s="23">
        <f>IFERROR(AVERAGE(R21:R23),"")</f>
        <v/>
      </c>
      <c r="T23" s="23">
        <f>IFERROR(SLOPE(Q19:Q23,ROW(Q19:Q23)),"")</f>
        <v/>
      </c>
      <c r="U23" s="24">
        <f>IFERROR(O23/O20-1,"")</f>
        <v/>
      </c>
      <c r="V23" s="24">
        <f>IFERROR(P23/P20-1,"")</f>
        <v/>
      </c>
      <c r="AA23" s="21" t="inlineStr">
        <is>
          <t>Gate+dex_bsc</t>
        </is>
      </c>
      <c r="AB23" t="n">
        <v>657484</v>
      </c>
      <c r="AJ23" s="18" t="n">
        <v>0.0468</v>
      </c>
      <c r="AN23" t="inlineStr">
        <is>
          <t>Gate=0.0942M | DEX_BSC(PancakeSwap)=0.5633M | src=GeckoTerminal one-shot 2026-08-03 | alpha_vol=$0.026M n=261 suspect=0.047x</t>
        </is>
      </c>
      <c r="AP23" t="n">
        <v>26360</v>
      </c>
      <c r="AQ23" t="n">
        <v>261</v>
      </c>
    </row>
    <row r="24" ht="15" customHeight="1">
      <c r="A24" s="15" t="inlineStr">
        <is>
          <t>2026-07-22</t>
        </is>
      </c>
      <c r="B24" s="16" t="n">
        <v>0.015139866343385</v>
      </c>
      <c r="C24" s="24">
        <f>IFERROR(B24/B23-1,"")</f>
        <v/>
      </c>
      <c r="D24" s="17" t="n">
        <v>1713045.74842</v>
      </c>
      <c r="E24" s="18" t="n">
        <v>0.5459623019441526</v>
      </c>
      <c r="F24" s="19" t="n">
        <v>6.360166666666667e-05</v>
      </c>
      <c r="G24" s="19" t="n">
        <v>5e-05</v>
      </c>
      <c r="H24" s="19" t="n">
        <v>0.00013161</v>
      </c>
      <c r="I24" s="20" t="n">
        <v>6</v>
      </c>
      <c r="J24" t="inlineStr">
        <is>
          <t>FLOAT</t>
        </is>
      </c>
      <c r="L24" s="17" t="n">
        <v>3839507.25819608</v>
      </c>
      <c r="M24" s="25" t="n">
        <v>0.9498</v>
      </c>
      <c r="O24" s="22" t="n">
        <v>1.9084</v>
      </c>
      <c r="P24" s="22" t="n">
        <v>1.5846</v>
      </c>
      <c r="Q24" s="22" t="n">
        <v>1.4994</v>
      </c>
      <c r="R24" s="23">
        <f>IFERROR(O24/P24,"")</f>
        <v/>
      </c>
      <c r="S24" s="23">
        <f>IFERROR(AVERAGE(R22:R24),"")</f>
        <v/>
      </c>
      <c r="T24" s="23">
        <f>IFERROR(SLOPE(Q20:Q24,ROW(Q20:Q24)),"")</f>
        <v/>
      </c>
      <c r="U24" s="24">
        <f>IFERROR(O24/O21-1,"")</f>
        <v/>
      </c>
      <c r="V24" s="24">
        <f>IFERROR(P24/P21-1,"")</f>
        <v/>
      </c>
      <c r="AA24" s="21" t="inlineStr">
        <is>
          <t>Gate+dex_bsc</t>
        </is>
      </c>
      <c r="AB24" t="n">
        <v>482966</v>
      </c>
      <c r="AJ24" s="18" t="n">
        <v>0.0278</v>
      </c>
      <c r="AN24" t="inlineStr">
        <is>
          <t>Gate=0.0287M | DEX_BSC(PancakeSwap)=0.4543M | src=GeckoTerminal one-shot 2026-08-03 | alpha_vol=$0.013M n=141 suspect=0.028x</t>
        </is>
      </c>
      <c r="AP24" t="n">
        <v>12611</v>
      </c>
      <c r="AQ24" t="n">
        <v>141</v>
      </c>
    </row>
    <row r="25" ht="15" customHeight="1">
      <c r="A25" s="15" t="inlineStr">
        <is>
          <t>2026-07-23</t>
        </is>
      </c>
      <c r="B25" s="16" t="n">
        <v>0.0179970625217425</v>
      </c>
      <c r="C25" s="24">
        <f>IFERROR(B25/B24-1,"")</f>
        <v/>
      </c>
      <c r="D25" s="17" t="n">
        <v>167259563.39932</v>
      </c>
      <c r="E25" s="18" t="n">
        <v>0.4890935881891488</v>
      </c>
      <c r="F25" s="19" t="n">
        <v>0.0002468083333333</v>
      </c>
      <c r="G25" s="19" t="n">
        <v>5e-05</v>
      </c>
      <c r="H25" s="19" t="n">
        <v>0.00036813</v>
      </c>
      <c r="I25" s="20" t="n">
        <v>6</v>
      </c>
      <c r="J25" t="inlineStr">
        <is>
          <t>FLOAT</t>
        </is>
      </c>
      <c r="L25" s="17" t="n">
        <v>3946003.54422922</v>
      </c>
      <c r="M25" s="25" t="n">
        <v>0.9761</v>
      </c>
      <c r="O25" s="22" t="n">
        <v>1.9113</v>
      </c>
      <c r="P25" s="22" t="n">
        <v>1.7012</v>
      </c>
      <c r="Q25" s="22" t="n">
        <v>1.809</v>
      </c>
      <c r="R25" s="23">
        <f>IFERROR(O25/P25,"")</f>
        <v/>
      </c>
      <c r="S25" s="23">
        <f>IFERROR(AVERAGE(R23:R25),"")</f>
        <v/>
      </c>
      <c r="T25" s="23">
        <f>IFERROR(SLOPE(Q21:Q25,ROW(Q21:Q25)),"")</f>
        <v/>
      </c>
      <c r="U25" s="24">
        <f>IFERROR(O25/O22-1,"")</f>
        <v/>
      </c>
      <c r="V25" s="24">
        <f>IFERROR(P25/P22-1,"")</f>
        <v/>
      </c>
      <c r="AA25" s="21" t="inlineStr">
        <is>
          <t>Gate+dex_bsc</t>
        </is>
      </c>
      <c r="AB25" t="n">
        <v>21594546</v>
      </c>
      <c r="AJ25" s="18" t="n">
        <v>0.2029</v>
      </c>
      <c r="AN25" t="inlineStr">
        <is>
          <t>Gate=2.9112M | DEX_BSC(PancakeSwap)=18.6833M | src=GeckoTerminal one-shot 2026-08-03 | alpha_vol=$3.792M n=27,245 suspect=0.203x</t>
        </is>
      </c>
      <c r="AP25" t="n">
        <v>3791767</v>
      </c>
      <c r="AQ25" t="n">
        <v>27245</v>
      </c>
    </row>
    <row r="26" ht="15" customHeight="1">
      <c r="A26" s="15" t="inlineStr">
        <is>
          <t>2026-07-27</t>
        </is>
      </c>
      <c r="B26" s="16" t="n">
        <v>0.0156768626998776</v>
      </c>
      <c r="C26" s="24">
        <f>IFERROR(B26/B25-1,"")</f>
        <v/>
      </c>
      <c r="D26" s="17" t="n">
        <v>16919045.11194</v>
      </c>
      <c r="E26" s="18" t="n">
        <v>0.4851199670476778</v>
      </c>
      <c r="F26" s="19" t="n">
        <v>0.0003430716666666</v>
      </c>
      <c r="G26" s="19" t="n">
        <v>5e-05</v>
      </c>
      <c r="H26" s="19" t="n">
        <v>0.00065669</v>
      </c>
      <c r="I26" s="20" t="n">
        <v>6</v>
      </c>
      <c r="J26" t="inlineStr">
        <is>
          <t>FLOAT</t>
        </is>
      </c>
      <c r="L26" s="17" t="n">
        <v>6602997.42389184</v>
      </c>
      <c r="M26" s="25" t="n">
        <v>1.6051</v>
      </c>
      <c r="O26" s="22" t="n">
        <v>2.0591</v>
      </c>
      <c r="P26" s="22" t="n">
        <v>1.3596</v>
      </c>
      <c r="Q26" s="22" t="n">
        <v>1.3691</v>
      </c>
      <c r="R26" s="23">
        <f>IFERROR(O26/P26,"")</f>
        <v/>
      </c>
      <c r="S26" s="23">
        <f>IFERROR(AVERAGE(R24:R26),"")</f>
        <v/>
      </c>
      <c r="T26" s="23">
        <f>IFERROR(SLOPE(Q22:Q26,ROW(Q22:Q26)),"")</f>
        <v/>
      </c>
      <c r="U26" s="24">
        <f>IFERROR(O26/O23-1,"")</f>
        <v/>
      </c>
      <c r="V26" s="24">
        <f>IFERROR(P26/P23-1,"")</f>
        <v/>
      </c>
      <c r="AA26" s="21" t="inlineStr">
        <is>
          <t>Gate+dex_bsc</t>
        </is>
      </c>
      <c r="AB26" t="n">
        <v>12497899</v>
      </c>
      <c r="AJ26" s="18" t="n">
        <v>0.2928</v>
      </c>
      <c r="AN26" t="inlineStr">
        <is>
          <t>IDOL: no Binance spot. Gate spot 28/07+ via one-shot probe (api.gateio.ws). taker_spot=ABSTAIN (L-29) | Gate=2.6639M | DEX_BSC(PancakeSwap)=9.8340M | src=GeckoTerminal one-shot 2026-08-03 | alpha_vol=$2.880M n=14,835 suspect=0.293x</t>
        </is>
      </c>
      <c r="AP26" t="n">
        <v>2879862</v>
      </c>
      <c r="AQ26" t="n">
        <v>14835</v>
      </c>
    </row>
    <row r="27" ht="15" customHeight="1">
      <c r="A27" s="15" t="inlineStr">
        <is>
          <t>2026-07-28</t>
        </is>
      </c>
      <c r="B27" s="16" t="n">
        <v>0.0168086900086867</v>
      </c>
      <c r="C27" s="24">
        <f>IFERROR(B27/B26-1,"")</f>
        <v/>
      </c>
      <c r="D27" s="17" t="n">
        <v>5930775.03944</v>
      </c>
      <c r="E27" s="18" t="n">
        <v>0.4801954465121114</v>
      </c>
      <c r="F27" s="19" t="n">
        <v>0.0001975616666666</v>
      </c>
      <c r="G27" s="19" t="n">
        <v>5.655e-05</v>
      </c>
      <c r="H27" s="19" t="n">
        <v>0.00035535</v>
      </c>
      <c r="I27" s="20" t="n">
        <v>6</v>
      </c>
      <c r="L27" s="17" t="n">
        <v>10710505.52576626</v>
      </c>
      <c r="M27" s="25" t="n"/>
      <c r="O27" s="22" t="n">
        <v>2.2065</v>
      </c>
      <c r="P27" s="22" t="n">
        <v>0.992</v>
      </c>
      <c r="Q27" s="22" t="n">
        <v>1.0379</v>
      </c>
      <c r="R27" s="23">
        <f>IFERROR(O27/P27,"")</f>
        <v/>
      </c>
      <c r="S27" s="23">
        <f>IFERROR(AVERAGE(R25:R27),"")</f>
        <v/>
      </c>
      <c r="T27" s="23">
        <f>IFERROR(Q27/Q22,"")</f>
        <v/>
      </c>
      <c r="U27" s="24">
        <f>IFERROR(O27/O24-1,"")</f>
        <v/>
      </c>
      <c r="V27" s="24">
        <f>IFERROR(P27/P24-1,"")</f>
        <v/>
      </c>
      <c r="AA27" s="21" t="inlineStr">
        <is>
          <t>Gate+dex_bsc</t>
        </is>
      </c>
      <c r="AB27" t="n">
        <v>2386498</v>
      </c>
      <c r="AJ27" s="18" t="n">
        <v>0.0774</v>
      </c>
      <c r="AN27" t="inlineStr">
        <is>
          <t>Gate=0.6159M | DEX_BSC(PancakeSwap)=1.7706M | src=GeckoTerminal one-shot 2026-08-03 | alpha_vol=$0.137M n=1,463 suspect=0.077x</t>
        </is>
      </c>
      <c r="AP27" t="n">
        <v>137098</v>
      </c>
      <c r="AQ27" t="n">
        <v>1463</v>
      </c>
    </row>
    <row r="28" ht="15" customHeight="1">
      <c r="A28" s="15" t="inlineStr">
        <is>
          <t>2026-07-29</t>
        </is>
      </c>
      <c r="B28" s="16" t="n">
        <v>0.0156874869638988</v>
      </c>
      <c r="C28" s="24">
        <f>IFERROR(B28/B27-1,"")</f>
        <v/>
      </c>
      <c r="D28" s="17" t="n">
        <v>3001087.06951</v>
      </c>
      <c r="E28" s="18" t="n">
        <v>0.4725181981221648</v>
      </c>
      <c r="F28" s="19" t="n">
        <v>6.6775e-05</v>
      </c>
      <c r="G28" s="19" t="n">
        <v>5e-05</v>
      </c>
      <c r="H28" s="19" t="n">
        <v>0.00014646</v>
      </c>
      <c r="I28" s="20" t="n">
        <v>6</v>
      </c>
      <c r="L28" s="17" t="n">
        <v>9909666.0182763</v>
      </c>
      <c r="M28" s="25" t="n"/>
      <c r="O28" s="22" t="n">
        <v>2.3278</v>
      </c>
      <c r="P28" s="22" t="n">
        <v>1.1608</v>
      </c>
      <c r="Q28" s="22" t="n">
        <v>1.3895</v>
      </c>
      <c r="R28" s="23">
        <f>IFERROR(O28/P28,"")</f>
        <v/>
      </c>
      <c r="S28" s="23">
        <f>IFERROR(AVERAGE(R26:R28),"")</f>
        <v/>
      </c>
      <c r="T28" s="23">
        <f>IFERROR(Q28/Q23,"")</f>
        <v/>
      </c>
      <c r="U28" s="24">
        <f>IFERROR(O28/O25-1,"")</f>
        <v/>
      </c>
      <c r="V28" s="24">
        <f>IFERROR(P28/P25-1,"")</f>
        <v/>
      </c>
      <c r="AA28" s="21" t="inlineStr">
        <is>
          <t>Gate+dex_bsc</t>
        </is>
      </c>
      <c r="AB28" t="n">
        <v>1325917</v>
      </c>
      <c r="AJ28" s="18" t="n">
        <v>0.0994</v>
      </c>
      <c r="AN28" t="inlineStr">
        <is>
          <t>Gate=0.1990M | DEX_BSC(PancakeSwap)=1.1269M | src=GeckoTerminal one-shot 2026-08-03 | alpha_vol=$0.112M n=1,169 suspect=0.099x</t>
        </is>
      </c>
      <c r="AP28" t="n">
        <v>112067</v>
      </c>
      <c r="AQ28" t="n">
        <v>1169</v>
      </c>
    </row>
    <row r="29" ht="15" customHeight="1">
      <c r="A29" s="15" t="inlineStr">
        <is>
          <t>2026-07-30</t>
        </is>
      </c>
      <c r="B29" s="16" t="n">
        <v>0.0152342446246339</v>
      </c>
      <c r="C29" s="24">
        <f>IFERROR(B29/B28-1,"")</f>
        <v/>
      </c>
      <c r="D29" s="17" t="n">
        <v>2995738.46077</v>
      </c>
      <c r="E29" s="18" t="n">
        <v>0.5284798189362505</v>
      </c>
      <c r="F29" s="19" t="n">
        <v>9.596166666666668e-05</v>
      </c>
      <c r="G29" s="19" t="n">
        <v>5e-05</v>
      </c>
      <c r="H29" s="19" t="n">
        <v>0.00020606</v>
      </c>
      <c r="I29" s="20" t="n">
        <v>6</v>
      </c>
      <c r="L29" s="17" t="n">
        <v>8867578.2372005</v>
      </c>
      <c r="M29" s="25" t="n"/>
      <c r="O29" s="22" t="n">
        <v>2.5585</v>
      </c>
      <c r="P29" s="22" t="n">
        <v>1.209</v>
      </c>
      <c r="Q29" s="22" t="n">
        <v>1.4594</v>
      </c>
      <c r="R29" s="23">
        <f>IFERROR(O29/P29,"")</f>
        <v/>
      </c>
      <c r="S29" s="23">
        <f>IFERROR(AVERAGE(R27:R29),"")</f>
        <v/>
      </c>
      <c r="T29" s="23">
        <f>IFERROR(Q29/Q24,"")</f>
        <v/>
      </c>
      <c r="U29" s="24">
        <f>IFERROR(O29/O26-1,"")</f>
        <v/>
      </c>
      <c r="V29" s="24">
        <f>IFERROR(P29/P26-1,"")</f>
        <v/>
      </c>
      <c r="AA29" s="21" t="inlineStr">
        <is>
          <t>Gate+dex_bsc</t>
        </is>
      </c>
      <c r="AB29" t="n">
        <v>1377252</v>
      </c>
      <c r="AJ29" s="18" t="n">
        <v>0.0784</v>
      </c>
      <c r="AL29" s="21" t="n"/>
      <c r="AN29" s="21" t="inlineStr">
        <is>
          <t>Gate=0.3526M | DEX_BSC(PancakeSwap)=1.0247M | src=GeckoTerminal one-shot 2026-08-03 | alpha_vol=$0.080M n=775 suspect=0.078x</t>
        </is>
      </c>
      <c r="AP29" t="n">
        <v>80310</v>
      </c>
      <c r="AQ29" t="n">
        <v>775</v>
      </c>
    </row>
    <row r="30" ht="15" customHeight="1">
      <c r="A30" s="15" t="inlineStr">
        <is>
          <t>2026-07-31</t>
        </is>
      </c>
      <c r="B30" s="16" t="n">
        <v>0.01640271991529722</v>
      </c>
      <c r="C30" s="24">
        <f>IFERROR(B30/B29-1,"")</f>
        <v/>
      </c>
      <c r="D30" s="17" t="n">
        <v>7335938.84066</v>
      </c>
      <c r="E30" s="18" t="n">
        <v>0.4987468671679198</v>
      </c>
      <c r="F30" s="19" t="n">
        <v>0.00031801</v>
      </c>
      <c r="G30" s="19" t="n">
        <v>5e-05</v>
      </c>
      <c r="H30" s="19" t="n">
        <v>0.00080377</v>
      </c>
      <c r="I30" s="20" t="n">
        <v>6</v>
      </c>
      <c r="L30" s="17" t="n">
        <v>8805698.412641199</v>
      </c>
      <c r="M30" s="25" t="n"/>
      <c r="O30" s="22" t="n">
        <v>2.5455</v>
      </c>
      <c r="P30" s="22" t="n">
        <v>1.2396</v>
      </c>
      <c r="Q30" s="22" t="n">
        <v>1.5575</v>
      </c>
      <c r="R30" s="23">
        <f>IFERROR(O30/P30,"")</f>
        <v/>
      </c>
      <c r="S30" s="23">
        <f>IFERROR(AVERAGE(R28:R30),"")</f>
        <v/>
      </c>
      <c r="T30" s="23">
        <f>IFERROR(Q30/Q25,"")</f>
        <v/>
      </c>
      <c r="U30" s="24">
        <f>IFERROR(O30/O27-1,"")</f>
        <v/>
      </c>
      <c r="V30" s="24">
        <f>IFERROR(P30/P27-1,"")</f>
        <v/>
      </c>
      <c r="W30" s="21" t="n"/>
      <c r="AA30" s="21" t="inlineStr">
        <is>
          <t>Gate+dex_bsc</t>
        </is>
      </c>
      <c r="AB30" s="17" t="n">
        <v>1544874</v>
      </c>
      <c r="AD30" s="17" t="n"/>
      <c r="AE30" s="17" t="n"/>
      <c r="AJ30" s="18" t="n">
        <v>0.1226</v>
      </c>
      <c r="AN30" t="inlineStr">
        <is>
          <t>Gate=0.1104M | DEX_BSC(PancakeSwap)=1.4345M | src=GeckoTerminal one-shot 2026-08-03 | alpha_vol=$0.176M n=1,398 suspect=0.123x</t>
        </is>
      </c>
      <c r="AP30" t="n">
        <v>175843</v>
      </c>
      <c r="AQ30" t="n">
        <v>1398</v>
      </c>
    </row>
    <row r="31">
      <c r="A31" t="inlineStr">
        <is>
          <t>2026-08-01</t>
        </is>
      </c>
      <c r="B31" t="n">
        <v>0.0239455254881411</v>
      </c>
      <c r="C31">
        <f>IFERROR(B31/B30-1,"")</f>
        <v/>
      </c>
      <c r="D31" t="n">
        <v>175671534.50156</v>
      </c>
      <c r="E31" t="n">
        <v>0.5152925209635985</v>
      </c>
      <c r="F31" t="n">
        <v>9.492333333333332e-05</v>
      </c>
      <c r="G31" t="n">
        <v>-0.00070055</v>
      </c>
      <c r="H31" t="n">
        <v>0.00066625</v>
      </c>
      <c r="I31" t="n">
        <v>6</v>
      </c>
      <c r="J31" t="inlineStr">
        <is>
          <t>FLOAT</t>
        </is>
      </c>
      <c r="L31" t="n">
        <v>9844799.294609999</v>
      </c>
      <c r="M31" t="n">
        <v>1.4493</v>
      </c>
      <c r="O31" t="n">
        <v>2.5241</v>
      </c>
      <c r="P31" t="n">
        <v>1.1825</v>
      </c>
      <c r="Q31" t="n">
        <v>1.4888</v>
      </c>
      <c r="R31">
        <f>IFERROR(O31/P31,"")</f>
        <v/>
      </c>
      <c r="S31">
        <f>IFERROR(AVERAGE(R29:R31),"")</f>
        <v/>
      </c>
      <c r="T31">
        <f>IFERROR(SLOPE(Q27:Q31,ROW(Q27:Q31)),"")</f>
        <v/>
      </c>
      <c r="U31">
        <f>IFERROR(O31/O28-1,"")</f>
        <v/>
      </c>
      <c r="V31">
        <f>IFERROR(P31/P28-1,"")</f>
        <v/>
      </c>
      <c r="AA31" t="inlineStr">
        <is>
          <t>Gate+dex_bsc</t>
        </is>
      </c>
      <c r="AB31" t="n">
        <v>41408688</v>
      </c>
      <c r="AC31" t="n"/>
      <c r="AJ31" t="n">
        <v>0.3661</v>
      </c>
      <c r="AN31" t="inlineStr">
        <is>
          <t>Gate=9.5776M | DEX_BSC(PancakeSwap)=31.8311M | src=GeckoTerminal one-shot 2026-08-03 | alpha_vol=$11.655M n=50,987 suspect=0.366x</t>
        </is>
      </c>
      <c r="AP31" t="n">
        <v>11654883</v>
      </c>
      <c r="AQ31" t="n">
        <v>50987</v>
      </c>
    </row>
    <row r="32" ht="15" customHeight="1">
      <c r="A32" s="7" t="inlineStr">
        <is>
          <t>2026-08-02</t>
        </is>
      </c>
      <c r="B32" t="n">
        <v>0.02311694285969805</v>
      </c>
      <c r="C32">
        <f>IFERROR(B32/B31-1,"")</f>
        <v/>
      </c>
      <c r="D32" t="n">
        <v>40715280.86713</v>
      </c>
      <c r="E32" t="n">
        <v>0.500848557452331</v>
      </c>
      <c r="F32" t="n">
        <v>5e-05</v>
      </c>
      <c r="G32" t="n">
        <v>5e-05</v>
      </c>
      <c r="H32" t="n">
        <v>5e-05</v>
      </c>
      <c r="I32" t="n">
        <v>6</v>
      </c>
      <c r="J32" t="inlineStr">
        <is>
          <t>PINNED</t>
        </is>
      </c>
      <c r="K32" t="n">
        <v>1</v>
      </c>
      <c r="L32" t="n">
        <v>10483341.9772</v>
      </c>
      <c r="M32" t="n">
        <v>1.4806</v>
      </c>
      <c r="O32" t="n">
        <v>1.7314</v>
      </c>
      <c r="P32" t="n">
        <v>1.1782</v>
      </c>
      <c r="Q32" t="n">
        <v>1.1436</v>
      </c>
      <c r="R32">
        <f>IFERROR(O32/P32,"")</f>
        <v/>
      </c>
      <c r="S32">
        <f>IFERROR(AVERAGE(R30:R32),"")</f>
        <v/>
      </c>
      <c r="T32">
        <f>IFERROR(SLOPE(Q28:Q32,ROW(Q28:Q32)),"")</f>
        <v/>
      </c>
      <c r="U32">
        <f>IFERROR(O32/O29-1,"")</f>
        <v/>
      </c>
      <c r="V32">
        <f>IFERROR(P32/P29-1,"")</f>
        <v/>
      </c>
      <c r="AA32" t="inlineStr">
        <is>
          <t>Gate+dex_bsc</t>
        </is>
      </c>
      <c r="AB32" t="n">
        <v>8866587</v>
      </c>
      <c r="AC32" t="n"/>
      <c r="AJ32" t="n">
        <v>0.0849</v>
      </c>
      <c r="AN32" t="inlineStr">
        <is>
          <t>Gate=1.5475M | DEX_BSC(PancakeSwap)=7.3191M | src=GeckoTerminal one-shot 2026-08-03 | alpha_vol=$0.621M n=2,974 suspect=0.085x</t>
        </is>
      </c>
      <c r="AP32" t="n">
        <v>621160</v>
      </c>
      <c r="AQ32" t="n">
        <v>2974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1" customWidth="1" min="1" max="1"/>
    <col width="60" customWidth="1" min="2" max="2"/>
    <col width="18" customWidth="1" min="3" max="3"/>
    <col width="45" customWidth="1" min="4" max="4"/>
  </cols>
  <sheetData>
    <row r="1" ht="16.2" customHeight="1">
      <c r="A1" s="1" t="inlineStr">
        <is>
          <t>D. NHAT KY DIEN BIEN (append-only, moi nhat duoi cung)</t>
        </is>
      </c>
    </row>
    <row r="3" ht="15" customHeight="1">
      <c r="A3" s="26" t="inlineStr">
        <is>
          <t>ngay</t>
        </is>
      </c>
      <c r="B3" s="26" t="inlineStr">
        <is>
          <t>su_kien_so_lieu</t>
        </is>
      </c>
      <c r="C3" s="26" t="inlineStr">
        <is>
          <t>nguon</t>
        </is>
      </c>
      <c r="D3" s="26" t="inlineStr">
        <is>
          <t>doc_nhanh</t>
        </is>
      </c>
    </row>
    <row r="4" ht="15" customHeight="1">
      <c r="A4" s="4" t="inlineStr">
        <is>
          <t>31/07→02/08</t>
        </is>
      </c>
      <c r="B4" s="4" t="inlineStr">
        <is>
          <t>13 vi nhan ~273M IDOL (~5.7% supply) tu Binance. 7 vi x20M chia may (Sent=0, hold). 58bro nhan 51.36M, sent 27.06M (trung chuyen — dich PENDING). Ngay chinh xac PENDING. PUMP_STAGING?/RELOCATION? — CHUA GAN, can infra_gate label-check truoc (&gt;=2% supply, an TAG/Bitget)</t>
        </is>
      </c>
      <c r="C4" s="4" t="inlineStr">
        <is>
          <t>Binance (Alpha custody) — cơ chế xác nhận 03/08</t>
        </is>
      </c>
      <c r="D4" s="4" t="inlineStr">
        <is>
          <t>PENDING-VERIFY: txhash + ngay chinh xac tu Nansen. Doc: rut TRONG markup (gia len 0.016→0.024 01-02/08) — hai khuon canh tranh: (1) that float leg-2 (ESPORTS-10% pattern) vs (2) chot chien loi pham on-chain. E1 han cap -&gt; P3: can operator feed dia chi + txhash de phan loai. | [Z4-rev 03/08] GOM-qua-Alpha = giả thuyết dẫn đầu về cơ chế: 273M IDOL rút về ví BSC (0x...) có thể là GOM staging qua Binance Alpha custody. Mechanism: Binance giữ IDOL on-chain → users mua qua Binance app (Alpha section) → Binance rút batch về ví custody BSC → 7×~39M = 273M. Xác nhận còn thiếu (Z1): txhash + địa chỉ đích 13 ví. Nếu Z1 confirm Binance custody → E1 = GOM-staging, không phải chốt lợi nhuận. Nếu Z1 thấy pattern khác → revise.</t>
        </is>
      </c>
    </row>
    <row r="5" ht="15" customHeight="1">
      <c r="A5" s="4" t="inlineStr">
        <is>
          <t>2026-08-02</t>
        </is>
      </c>
      <c r="B5" s="4" t="inlineStr">
        <is>
          <t>Gate wallet 0x0d0707 +54.76M IDOL (~1.14% supply) trong 1d; +148.29M trong 30d. Huong: DEPOSIT vao Gate. Y dinh: PENDING — can ma tran BTW-vs-IDOL + vi tri chu ky tu B5</t>
        </is>
      </c>
      <c r="C5" s="4" t="inlineStr">
        <is>
          <t>Nansen UI (so hua, chua co txhash)</t>
        </is>
      </c>
      <c r="D5" s="4" t="inlineStr">
        <is>
          <t>[HA CAP] &lt;2% supply — khong dang ke tren on-chain thesis. Giu dong lam vet. PENDING-VERIFY: txhash + phan loai BTW-vs-IDOL (Gate wallet 0x0d0707 co phai cung operator BTW khong?)</t>
        </is>
      </c>
    </row>
    <row r="6" ht="15" customHeight="1">
      <c r="A6" s="4" t="n"/>
      <c r="B6" s="4" t="n"/>
      <c r="C6" s="4" t="n"/>
      <c r="D6" s="4" t="n"/>
    </row>
    <row r="7" ht="15" customHeight="1">
      <c r="A7" s="4" t="n"/>
      <c r="B7" s="4" t="n"/>
      <c r="C7" s="4" t="n"/>
      <c r="D7" s="4" t="n"/>
    </row>
    <row r="8" ht="15" customHeight="1">
      <c r="A8" s="4" t="n"/>
      <c r="B8" s="4" t="n"/>
      <c r="C8" s="4" t="n"/>
      <c r="D8" s="4" t="n"/>
    </row>
    <row r="9">
      <c r="A9" t="inlineStr">
        <is>
          <t>2026-08-11</t>
        </is>
      </c>
      <c r="B9" t="inlineStr">
        <is>
          <t>Unlock tranche tháng 8: 97.29M IDOL (~2.03% supply)</t>
        </is>
      </c>
      <c r="C9" t="inlineStr">
        <is>
          <t>UNLOCK_SCHEDULE</t>
        </is>
      </c>
      <c r="D9" t="inlineStr">
        <is>
          <t>Suppressor context thường trực: 2%/tháng ngày 11. Markup 01/08 nổ 10 ngày TRƯỚC — unlock ≠ trigger E1 (W6: UNLIKELY). Nguồn: CoinLaunch (op-verified). Team/Strat/Priv vừa ra linear post-cliff 06/2026.</t>
        </is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4" customWidth="1" min="1" max="1"/>
    <col width="22" customWidth="1" min="2" max="2"/>
    <col width="44" customWidth="1" min="3" max="3"/>
    <col width="40" customWidth="1" min="4" max="4"/>
    <col width="22" customWidth="1" min="5" max="5"/>
  </cols>
  <sheetData>
    <row r="1" ht="16.2" customHeight="1">
      <c r="A1" s="1" t="inlineStr">
        <is>
          <t>C. CHOT THEO DOI — doc moi ngay sau nen dong</t>
        </is>
      </c>
    </row>
    <row r="3" ht="15" customHeight="1">
      <c r="A3" s="26" t="inlineStr">
        <is>
          <t>#</t>
        </is>
      </c>
      <c r="B3" s="26" t="inlineStr">
        <is>
          <t>chot</t>
        </is>
      </c>
      <c r="C3" s="26" t="inlineStr">
        <is>
          <t>dieu_kien</t>
        </is>
      </c>
      <c r="D3" s="26" t="inlineStr">
        <is>
          <t>nghia_khi_bat</t>
        </is>
      </c>
      <c r="E3" s="26" t="inlineStr">
        <is>
          <t>trang_thai_hom_nay</t>
        </is>
      </c>
    </row>
    <row r="4" ht="15" customHeight="1">
      <c r="A4" s="4" t="inlineStr">
        <is>
          <t>T1</t>
        </is>
      </c>
      <c r="B4" s="4" t="inlineStr">
        <is>
          <t>Redeposit bat ky vi nao trong cum 13</t>
        </is>
      </c>
      <c r="C4" s="4" t="inlineStr">
        <is>
          <t>Bat ky vi trong cum 13 ~273M gui lai len san (BscScan detect)</t>
        </is>
      </c>
      <c r="D4" s="4" t="inlineStr">
        <is>
          <t>DONG AN XA TUC THOI — tiet lo y dinh muon ban; khong gia han wait</t>
        </is>
      </c>
      <c r="E4" s="5" t="inlineStr">
        <is>
          <t>CHUA BAT — watcher 0-credit pending B5</t>
        </is>
      </c>
    </row>
    <row r="5" ht="15" customHeight="1">
      <c r="A5" s="4" t="inlineStr">
        <is>
          <t>T2</t>
        </is>
      </c>
      <c r="B5" s="4" t="inlineStr">
        <is>
          <t>gLSR flush &lt;=1.1 + funding tai ghin &gt;=3d</t>
        </is>
      </c>
      <c r="C5" s="4" t="inlineStr">
        <is>
          <t>glsr &lt;= 1.1 lien tuc &gt;=3 nen VA f_avg &lt;= 5e-5 &gt;=3 nen</t>
        </is>
      </c>
      <c r="D5" s="4" t="inlineStr">
        <is>
          <t>Ho so re-staging leg-2 song — theo doi luc luong crowd short nap nhien lieu</t>
        </is>
      </c>
      <c r="E5" s="5" t="inlineStr">
        <is>
          <t>THEO DOI — 02/08 glsr=1.1436 (can them 03/08 de confirm trend)</t>
        </is>
      </c>
    </row>
    <row r="6" ht="15" customHeight="1">
      <c r="A6" s="4" t="inlineStr">
        <is>
          <t>T3</t>
        </is>
      </c>
      <c r="B6" s="4" t="inlineStr">
        <is>
          <t>pos_r floor hau-sap</t>
        </is>
      </c>
      <c r="C6" s="4" t="inlineStr">
        <is>
          <t>pos_r &gt;= 1.6 tai OI floor = con ghe (dinh luat #9); ga &lt; 1.3 = ghe rong</t>
        </is>
      </c>
      <c r="D6" s="4" t="inlineStr">
        <is>
          <t>Con ghe -&gt; re-staging kha thi; Ghe rong -&gt; dong an/tra gia gap</t>
        </is>
      </c>
      <c r="E6" s="5" t="inlineStr">
        <is>
          <t>THEO DOI — 02/08 pos_r=1.731 (&gt; 1.6, con ghe); OI=10.48M; cho 03/08</t>
        </is>
      </c>
    </row>
    <row r="7" ht="15" customHeight="1">
      <c r="A7" s="4" t="inlineStr">
        <is>
          <t>T4</t>
        </is>
      </c>
      <c r="B7" s="4" t="inlineStr">
        <is>
          <t>Suppressor bat ky (L-27 §5)</t>
        </is>
      </c>
      <c r="C7" s="4" t="inlineStr">
        <is>
          <t>dist_wall &lt; L-27_thresh HOAC neg_div ben &gt;= 3d HOAC post_climax flag</t>
        </is>
      </c>
      <c r="D7" s="4" t="inlineStr">
        <is>
          <t>STAND_ASIDE — khong vao/them bat ke phe nao</t>
        </is>
      </c>
      <c r="E7" s="5" t="inlineStr">
        <is>
          <t>CHO SO — cols 23/24 chua co gia tri (formula chua tinh)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7" customWidth="1" min="1" max="1"/>
    <col width="11" customWidth="1" min="2" max="2"/>
    <col width="12" customWidth="1" min="3" max="3"/>
    <col width="9" customWidth="1" min="4" max="4"/>
    <col width="16" customWidth="1" min="5" max="5"/>
    <col width="13" customWidth="1" min="6" max="6"/>
    <col width="9" customWidth="1" min="7" max="7"/>
    <col width="42" customWidth="1" min="8" max="9"/>
  </cols>
  <sheetData>
    <row r="1" ht="16.2" customHeight="1">
      <c r="A1" s="1" t="inlineStr">
        <is>
          <t>E. OUTCOME — dien tai moc; verdict_check: verdict luc mo DUNG/SAI o diem nao</t>
        </is>
      </c>
    </row>
    <row r="3" ht="15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 ht="15" customHeight="1">
      <c r="A4" s="4" t="n"/>
      <c r="B4" s="4" t="n"/>
      <c r="C4" s="5" t="n"/>
      <c r="D4" s="5" t="n"/>
      <c r="E4" s="5" t="n"/>
      <c r="F4" s="5" t="n"/>
      <c r="G4" s="5" t="n"/>
      <c r="H4" s="5" t="n"/>
      <c r="I4" s="5" t="n"/>
    </row>
    <row r="5" ht="15" customHeight="1">
      <c r="A5" s="4" t="n"/>
      <c r="B5" s="4" t="n"/>
      <c r="C5" s="5" t="n"/>
      <c r="D5" s="5" t="n"/>
      <c r="E5" s="5" t="n"/>
      <c r="F5" s="5" t="n"/>
      <c r="G5" s="5" t="n"/>
      <c r="H5" s="5" t="n"/>
      <c r="I5" s="5" t="n"/>
    </row>
    <row r="6" ht="15" customHeight="1">
      <c r="A6" s="4" t="n"/>
      <c r="B6" s="4" t="n"/>
      <c r="C6" s="5" t="n"/>
      <c r="D6" s="5" t="n"/>
      <c r="E6" s="5" t="n"/>
      <c r="F6" s="5" t="n"/>
      <c r="G6" s="5" t="n"/>
      <c r="H6" s="5" t="n"/>
      <c r="I6" s="5" t="n"/>
    </row>
    <row r="7" ht="15" customHeight="1">
      <c r="A7" s="4" t="n"/>
      <c r="B7" s="4" t="n"/>
      <c r="C7" s="5" t="n"/>
      <c r="D7" s="5" t="n"/>
      <c r="E7" s="5" t="n"/>
      <c r="F7" s="5" t="n"/>
      <c r="G7" s="5" t="n"/>
      <c r="H7" s="5" t="n"/>
      <c r="I7" s="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6640625" defaultRowHeight="14.4"/>
  <cols>
    <col width="28" customWidth="1" min="1" max="1"/>
    <col width="95" customWidth="1" min="2" max="2"/>
  </cols>
  <sheetData>
    <row r="1" ht="16.2" customHeight="1">
      <c r="A1" s="1" t="inlineStr">
        <is>
          <t>I. MM / OPERATOR PROFILE — van tay hanh vi (moi MM danh mot kieu)</t>
        </is>
      </c>
    </row>
    <row r="3" ht="15" customHeight="1">
      <c r="A3" s="3" t="inlineStr">
        <is>
          <t>MM cong bo / nghi van</t>
        </is>
      </c>
      <c r="B3" s="4" t="inlineStr">
        <is>
          <t>unknown — chua co ho so listing chinh thuc; can tra (PENDING)</t>
        </is>
      </c>
    </row>
    <row r="4" ht="15" customHeight="1">
      <c r="A4" s="3" t="inlineStr">
        <is>
          <t>MM_ID</t>
        </is>
      </c>
      <c r="B4" s="4" t="inlineStr">
        <is>
          <t>unknown-IDOL (chua du 3 van tay de gan; nghi khuon AKE/bid-walk theo hanh vi staging that)</t>
        </is>
      </c>
    </row>
    <row r="5" ht="15" customHeight="1">
      <c r="A5" s="3" t="inlineStr">
        <is>
          <t>Van tay funding</t>
        </is>
      </c>
      <c r="B5" s="4" t="inlineStr">
        <is>
          <t>Sau markup 01/08 (+50% 1 nen), f_avg 02/08 = 5e-5 (san/pinned). Trong nghia: MM chu dong de gim funding ve san sau markup — crowd khong chase (khong co premium demand); CONSISTENT EVAA khuon (re-staging, khong phai climax). Taker 01/08 = 51.5% (&lt;55%) = bid-walk, khong drive up funding. VAN TAY: pin-post-markup + taker&lt;55% = BIDWALK-A fingerprint.</t>
        </is>
      </c>
    </row>
    <row r="6" ht="15" customHeight="1">
      <c r="A6" s="3" t="inlineStr">
        <is>
          <t>Van tay markup</t>
        </is>
      </c>
      <c r="B6" s="4" t="inlineStr">
        <is>
          <t>01/08: vol_q=175.67M (~10x nen binh quan 28-31/07 ~17M), taker=51.5% (duoi 55% suot ca cu markup) — bid-walk ro rang. OI: 27/07 6.60M → 28/07 10.71M (+62%) → 01/08 9.84M → 02/08 10.48M. pos_r: leo 2.059→2.558 truoc ignition, sap 2.524→1.731 sau markup. Timing: top longs loaded 28-31/07 (pre-ignition), exit 02/08 khi crowd gap vao (OI tang nhung pos_r sap). KHUON NGHI VAN: BIDWALK-A (bid limit trong khi taker bearish/neutral).</t>
        </is>
      </c>
    </row>
    <row r="7" ht="15" customHeight="1">
      <c r="A7" s="3" t="inlineStr">
        <is>
          <t>Ky thuat quan crowd</t>
        </is>
      </c>
      <c r="B7" s="4" t="inlineStr">
        <is>
          <t>23/07 vol spike (167M, 8x nen) - bait-probe NGHI VAN (can taker 23/07). 28/07 OI +62% nhung taker=0.480 (bear) = MM mua limit trong khi retail sell. 01/08 markup: taker 51.5% — crowd KHONG phat hien hoac khong dan vao, MM lam gia don gian. 31/07→02/08 rut on-chain 273M TRONG markup = phuc tap: hoac thang float (giam supply san), hoac chot loi on-chain. gLSR: 1.369→1.038 (28/07, crowd giam short) → leo 1.558 (31/07) → sap 1.144 (02/08, crowd tiep tuc unwind).</t>
        </is>
      </c>
    </row>
    <row r="8" ht="15" customHeight="1">
      <c r="A8" s="3" t="inlineStr">
        <is>
          <t>Ky thuat moi on-chain</t>
        </is>
      </c>
      <c r="B8" s="4" t="inlineStr">
        <is>
          <t>staging that (7 vi x20M hold, Sent=0) — GIONG BANK; nghi MM-BIDWALK-A khuon</t>
        </is>
      </c>
    </row>
    <row r="9" ht="15" customHeight="1">
      <c r="A9" s="3" t="inlineStr">
        <is>
          <t>Venue</t>
        </is>
      </c>
      <c r="B9" s="4" t="inlineStr">
        <is>
          <t>Binance perp (chinh, OI uu the); Gate spot (bai do / deposit point)</t>
        </is>
      </c>
    </row>
    <row r="10" ht="15" customHeight="1">
      <c r="A10" s="3" t="inlineStr">
        <is>
          <t>Cross-campaign</t>
        </is>
      </c>
      <c r="B10" s="5" t="inlineStr">
        <is>
          <t>PENDING — ma tran BTW-vs-IDOL: Gate wallet 0x0d0707 co lien he BTW khong? E2 ha cap (&lt;2% supply) nhung van giu vet de check cross-campaign. Can: operator feed txhash va label cho 0x0d0707.</t>
        </is>
      </c>
    </row>
    <row r="11" ht="15" customHeight="1">
      <c r="A11" s="3" t="inlineStr">
        <is>
          <t>Ung xu voi minh</t>
        </is>
      </c>
      <c r="B11" s="5" t="inlineStr">
        <is>
          <t>MM_ID: unknown-IDOL (nghi BIDWALK-A khuon). Du kien 3 van tay can xac nhan: (1) BIDWALK-A: markup taker&lt;55% DONE (01/08 = 51.5%); (2) Bait-probe: vol spike 23/07, PENDING taker; (3) On-chain staging: 7 vi x20M Sent=0 — DONE (giong BANK). Neu bait-probe confirm: so sanh voi AKE/BANK MM_BOOK. Verdict MM_ID: TAM THOI BIDWALK-A, cho them du lieu.</t>
        </is>
      </c>
    </row>
    <row r="12">
      <c r="A12" t="n"/>
    </row>
    <row r="13">
      <c r="A13" t="n"/>
    </row>
    <row r="14">
      <c r="A14" t="n"/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zoomScaleNormal="100" workbookViewId="0">
      <selection activeCell="A1" sqref="A1"/>
    </sheetView>
  </sheetViews>
  <sheetFormatPr baseColWidth="8" defaultColWidth="8.6640625" defaultRowHeight="14.4"/>
  <cols>
    <col width="28" customWidth="1" min="1" max="1"/>
    <col width="95" customWidth="1" min="2" max="2"/>
  </cols>
  <sheetData>
    <row r="1" ht="16.2" customHeight="1">
      <c r="A1" s="1" t="inlineStr">
        <is>
          <t>J. TOKENOMICS / UNLOCK — dong cung co lich, MM danh quanh no</t>
        </is>
      </c>
    </row>
    <row r="3" ht="15" customHeight="1">
      <c r="A3" s="3" t="inlineStr">
        <is>
          <t>Circulating / Total (uoc tinh)</t>
        </is>
      </c>
      <c r="B3" s="5" t="inlineStr">
        <is>
          <t>4,800,000,000 IDOL total supply (CoinLaunch). Circulating ≈ 32.49% × 4.8B = 1,559.5M. E1 basis: 273M = 5.7% total supply ✓ (khớp ~4.79B estimate cũ).</t>
        </is>
      </c>
    </row>
    <row r="4" ht="15" customHeight="1">
      <c r="A4" s="3" t="inlineStr">
        <is>
          <t>Nguon tra</t>
        </is>
      </c>
      <c r="B4" s="5" t="inlineStr">
        <is>
          <t>CoinLaunch (operator-verified 2026-08-03). Đã thử: Tokenomist → NO_DATA, CryptoRank → NO_DATA (lần 1+2). CoinLaunch: có đủ schedule theo từng category.</t>
        </is>
      </c>
    </row>
    <row r="5" ht="15" customHeight="1">
      <c r="A5" s="3" t="inlineStr">
        <is>
          <t>Unlock KE TIEP</t>
        </is>
      </c>
      <c r="B5" s="5" t="inlineStr">
        <is>
          <t>2026-08-11 (T+8): 97,290,000 IDOL (~2.03% supply). Breakdown: Community 35.46M / Eco 17.63M / Team 28.8M / Strategic 7.68M / Private 5.76M / Advisor 1.96M.</t>
        </is>
      </c>
    </row>
    <row r="6" ht="15" customHeight="1">
      <c r="A6" s="3" t="inlineStr">
        <is>
          <t>Unlock 90 ngay toi</t>
        </is>
      </c>
      <c r="B6" s="5" t="inlineStr">
        <is>
          <t>3 tranches: 11/08 + 11/09 + 11/10 = 97.29M × 3 = 291.87M (~6.08% supply). Team/Strat/Private: đang linear (cliff hết 06/2026, 2 tranche còn tính từ 07/2026).</t>
        </is>
      </c>
    </row>
    <row r="7" ht="15" customHeight="1">
      <c r="A7" s="3" t="inlineStr">
        <is>
          <t>Cliff da qua gan nhat</t>
        </is>
      </c>
      <c r="B7" s="5" t="inlineStr">
        <is>
          <t>Team (cliff hết 06/2026), Strategic (cliff hết 06/2026), Private (cliff hết 06/2026). Cả 3 category vừa ra linear period → tháng 8 là lần đầu Team/Strat/Priv unlock post-cliff.</t>
        </is>
      </c>
    </row>
    <row r="8" ht="15" customHeight="1">
      <c r="A8" s="3" t="inlineStr">
        <is>
          <t>Doc</t>
        </is>
      </c>
      <c r="B8" s="4" t="inlineStr">
        <is>
          <t>L-12: cần unlock để biết mốc deadline MM. W6: UNLOCK-VESTING = UNLIKELY (3 trượt — xem row 14). Suppressor: unlock 2%/tháng = áp lực cung thường trực.</t>
        </is>
      </c>
    </row>
    <row r="9">
      <c r="A9" t="inlineStr">
        <is>
          <t>---</t>
        </is>
      </c>
    </row>
    <row r="10">
      <c r="A10" t="inlineStr">
        <is>
          <t>TGE_date</t>
        </is>
      </c>
      <c r="B10" t="inlineStr">
        <is>
          <t>2025-06-11</t>
        </is>
      </c>
    </row>
    <row r="11">
      <c r="A11" t="inlineStr">
        <is>
          <t>unlocked_pct</t>
        </is>
      </c>
      <c r="B11" t="inlineStr">
        <is>
          <t>32.49% (tính đến 2026-08-03)</t>
        </is>
      </c>
    </row>
    <row r="12">
      <c r="A12" t="inlineStr">
        <is>
          <t>monthly_unlock</t>
        </is>
      </c>
      <c r="B12" t="inlineStr">
        <is>
          <t>97,290,000 IDOL ngày 11 hằng tháng</t>
        </is>
      </c>
    </row>
    <row r="13">
      <c r="A13" t="inlineStr">
        <is>
          <t>---</t>
        </is>
      </c>
    </row>
    <row r="14">
      <c r="A14" t="inlineStr">
        <is>
          <t>W6_unlock_verdict</t>
        </is>
      </c>
      <c r="B14" t="inlineStr">
        <is>
          <t>UNLIKELY — 3 trượt cứng: (1) Ngày ✗: E1 rút 31/07→02/08 vs vesting ngày 11th (10 ngày trước); (2) Cỡ ✗: 273M rút ≠ 97.29M tranche (gấp 2.8×); (3) Nguồn ✗: rút từ ví exchange ≠ disburse từ vesting contract trực tiếp. 7×20M = chia-máy-khi-rút (TAG-5-ví khuôn), không phải vesting tranche pattern.</t>
        </is>
      </c>
    </row>
    <row r="15">
      <c r="A15" t="inlineStr">
        <is>
          <t>hypothesis_remaining</t>
        </is>
      </c>
      <c r="B15" t="inlineStr">
        <is>
          <t>Còn 2 giả thuyết: (A) STAGING-thắt-float: rút để giảm cung sàn, chuẩn bị leg-2 markup; (B) CHỐT-LỢI-PHẨM: chuẩn bị bank lợi nhuận sau markup 01/08. Phân biệt: A → không redeposit + OI giữ; B → redeposit sau 2-4w hoặc dump perp.</t>
        </is>
      </c>
    </row>
    <row r="16">
      <c r="A16" t="inlineStr">
        <is>
          <t>suppressor_context</t>
        </is>
      </c>
      <c r="B16" t="inlineStr">
        <is>
          <t>Markup 01/08 nổ 10 ngày TRƯỚC tranche 11/08. Unlock 2%/tháng = áp lực cung THƯỜNG TRỰC — không phải trigger đặc biệt của E1. T1 (watcher 13 ví) là trigger quan trọng hơn để phân loại A vs B.</t>
        </is>
      </c>
    </row>
    <row r="17">
      <c r="A17" t="inlineStr">
        <is>
          <t>---</t>
        </is>
      </c>
    </row>
    <row r="18">
      <c r="A18" t="inlineStr">
        <is>
          <t>gate_spot_W3</t>
        </is>
      </c>
      <c r="B18" t="inlineStr">
        <is>
          <t>Gate.io spot (api.gateio.ws, one-shot probe 2026-08-03 01:49 UTC): 28/07=615,898 USDT / 29/07=199,017 / 30/07=352,552 / 31/07=110,374 / 01/08=9,577,588 / 02/08=1,547,487 USDT. Nguồn: scripts/archive/_probe_idol_gate_tape.py (public API, không cần key). W3 REVISION: không còn ABSTAIN — có Gate spot series đủ 28/07→02/08.</t>
        </is>
      </c>
    </row>
    <row r="19">
      <c r="A19" t="inlineStr">
        <is>
          <t>W2_gate_capacity</t>
        </is>
      </c>
      <c r="B19" t="inlineStr">
        <is>
          <t>01/08 Gate spot vol = 9.58M USDT. 273M IDOL @ close 0.02438 = notional 6.66M USDT. Notional/vol = 69.5% → THIN (&lt; 2× absorption). Kết luận: Gate không đủ sức chứa 273M rút trong 1 ngày trên spot.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2026-07-29T03:24:04Z</dcterms:created>
  <dcterms:modified xsi:type="dcterms:W3CDTF">2026-08-03T08:14:43Z</dcterms:modified>
  <cp:lastModifiedBy>Tien Bui</cp:lastModifiedBy>
  <cp:revision>0</cp:revision>
</cp:coreProperties>
</file>