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  <author>agent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  <comment ref="AC31" authorId="1" shapeId="0">
      <text>
        <t>CẤM — L-29: taker_spot Gate chưa verify; để trống, không dùng làm bằng chứng</t>
      </text>
    </comment>
    <comment ref="AC32" authorId="1" shapeId="0">
      <text>
        <t>CẤM — L-29: taker_spot Gate chưa verify; để trống, không dùng làm bằng chứng</t>
      </text>
    </comment>
  </commentList>
</comments>
</file>

<file path=xl/comments/comment2.xml><?xml version="1.0" encoding="utf-8"?>
<comments xmlns="http://schemas.openxmlformats.org/spreadsheetml/2006/main">
  <authors>
    <author>agent</author>
  </authors>
  <commentList>
    <comment ref="A4" authorId="0" shapeId="0">
      <text>
        <t>So intraday/khong-ro-boundary: chi song EVENTS, khong vao DAILY (L-21/L-25)</t>
      </text>
    </comment>
    <comment ref="A5" authorId="0" shapeId="0">
      <text>
        <t>Can CAN OPERATOR: txhash E1+E2, dich 58bro, Nansen label-check infra_gate</t>
      </text>
    </comment>
  </commentList>
</comments>
</file>

<file path=xl/comments/comment3.xml><?xml version="1.0" encoding="utf-8"?>
<comments xmlns="http://schemas.openxmlformats.org/spreadsheetml/2006/main">
  <authors>
    <author>agent</author>
  </authors>
  <commentList>
    <comment ref="A12" authorId="0" shapeId="0">
      <text>
        <t>Van tay 1 (PENDING chot)</t>
      </text>
    </comment>
    <comment ref="A13" authorId="0" shapeId="0">
      <text>
        <t>Van tay 2 (PENDING chot)</t>
      </text>
    </comment>
    <comment ref="A14" authorId="0" shapeId="0">
      <text>
        <t>Van tay 3 (PENDING chot)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8" min="1" max="1"/>
    <col width="100" customWidth="1" style="28" min="2" max="2"/>
  </cols>
  <sheetData>
    <row r="1" ht="16.15" customHeight="1" s="29">
      <c r="A1" s="30" t="inlineStr">
        <is>
          <t>CASE FILE — IDOL</t>
        </is>
      </c>
    </row>
    <row r="2" ht="15" customHeight="1" s="29">
      <c r="A2" s="28" t="inlineStr">
        <is>
          <t>LEGEND</t>
        </is>
      </c>
      <c r="B2" s="28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31" t="inlineStr">
        <is>
          <t>Nguon: case_tracker v1.1 · verdict chi operator ghi · so kem nguon · PENDING khong doan</t>
        </is>
      </c>
    </row>
    <row r="4" ht="15" customHeight="1" s="29"/>
    <row r="5" ht="15" customHeight="1" s="29">
      <c r="A5" s="32" t="inlineStr">
        <is>
          <t>Status</t>
        </is>
      </c>
      <c r="B5" s="33" t="inlineStr">
        <is>
          <t>OPEN — WATCH-nong</t>
        </is>
      </c>
    </row>
    <row r="6" ht="15" customHeight="1" s="29">
      <c r="A6" s="32" t="inlineStr">
        <is>
          <t>Loai</t>
        </is>
      </c>
      <c r="B6" s="33" t="inlineStr">
        <is>
          <t>pump-setup vong 2 (sau ARMED#1 cu)</t>
        </is>
      </c>
    </row>
    <row r="7" ht="15" customHeight="1" s="29">
      <c r="A7" s="32" t="inlineStr">
        <is>
          <t>Ngay phat hien</t>
        </is>
      </c>
      <c r="B7" s="33" t="inlineStr">
        <is>
          <t>27-28/07: 2 vi consolidate 17M -&gt; 0x34828d + 3 vi rut ~$26M khoi Gate/48h</t>
        </is>
      </c>
    </row>
    <row r="8" ht="15" customHeight="1" s="29">
      <c r="A8" s="32" t="inlineStr">
        <is>
          <t>T0</t>
        </is>
      </c>
      <c r="B8" s="33" t="inlineStr">
        <is>
          <t>chua xac dinh (ung vien 07-27/28 neu stealth giu) · px 28/07 ~0.00139</t>
        </is>
      </c>
    </row>
    <row r="9" ht="15" customHeight="1" s="29">
      <c r="A9" s="32" t="inlineStr">
        <is>
          <t>action_class</t>
        </is>
      </c>
      <c r="B9" s="34" t="inlineStr">
        <is>
          <t>WATCH — CHUA tai-ARM (thieu manh cau truc); KHONG duoi gia +40% (bai TUT/BULLA)</t>
        </is>
      </c>
    </row>
    <row r="10" ht="15" customHeight="1" s="29">
      <c r="A10" s="32" t="inlineStr">
        <is>
          <t>Vi the</t>
        </is>
      </c>
      <c r="B10" s="33" t="inlineStr">
        <is>
          <t>none</t>
        </is>
      </c>
    </row>
    <row r="11" ht="15" customHeight="1" s="29">
      <c r="A11" s="32" t="inlineStr">
        <is>
          <t>Tom tat input</t>
        </is>
      </c>
      <c r="B11" s="33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</t>
        </is>
      </c>
    </row>
    <row r="12" ht="15" customHeight="1" s="29">
      <c r="A12" s="32" t="inlineStr">
        <is>
          <t>Verdict (operator)</t>
        </is>
      </c>
      <c r="B12" s="34" t="inlineStr">
        <is>
          <t>campaign nhieu kha nang tai khoi dong; 1 tell + accelerant, thieu 2 manh cau truc -&gt; chua ARMED</t>
        </is>
      </c>
    </row>
    <row r="13">
      <c r="A13" s="32" t="inlineStr">
        <is>
          <t>Dieu gi chung minh SAI</t>
        </is>
      </c>
      <c r="B13" s="34" t="inlineStr">
        <is>
          <t>redeposit tu bat ky vi nao cum 6 · gia &lt;0.00072 · gLSR quay len &gt;1.5 kem gia dung</t>
        </is>
      </c>
    </row>
    <row r="14" ht="39.75" customHeight="1" s="29"/>
    <row r="15">
      <c r="A15" s="35" t="inlineStr">
        <is>
          <t>LEGEND</t>
        </is>
      </c>
      <c r="B15" s="36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8" min="1" max="1"/>
    <col width="11" customWidth="1" style="28" min="2" max="2"/>
    <col width="8" customWidth="1" style="28" min="3" max="3"/>
    <col width="13" customWidth="1" style="28" min="4" max="4"/>
    <col width="9" customWidth="1" style="28" min="5" max="5"/>
    <col width="10" customWidth="1" style="28" min="6" max="8"/>
    <col width="5" customWidth="1" style="28" min="9" max="9"/>
    <col width="12" customWidth="1" style="28" min="10" max="10"/>
    <col width="7" customWidth="1" style="28" min="11" max="11"/>
    <col width="13" customWidth="1" style="28" min="12" max="12"/>
    <col width="9" customWidth="1" style="28" min="13" max="17"/>
    <col width="8" customWidth="1" style="28" min="18" max="19"/>
    <col width="9" customWidth="1" style="28" min="20" max="20"/>
    <col width="8" customWidth="1" style="28" min="21" max="22"/>
    <col width="22" customWidth="1" style="28" min="23" max="23"/>
    <col width="16" customWidth="1" style="28" min="24" max="24"/>
    <col width="8" customWidth="1" style="28" min="25" max="25"/>
    <col width="7" customWidth="1" style="28" min="26" max="26"/>
    <col width="9" customWidth="1" style="28" min="27" max="27"/>
    <col width="12" customWidth="1" style="28" min="28" max="28"/>
    <col width="9" customWidth="1" style="28" min="29" max="29"/>
    <col width="11" customWidth="1" style="28" min="30" max="35"/>
    <col width="9" customWidth="1" style="28" min="36" max="36"/>
    <col width="14" customWidth="1" style="28" min="37" max="37"/>
    <col width="18" customWidth="1" style="28" min="38" max="38"/>
    <col width="9" customWidth="1" style="28" min="39" max="39"/>
    <col width="30" customWidth="1" style="28" min="40" max="40"/>
    <col width="22" customWidth="1" style="28" min="41" max="41"/>
  </cols>
  <sheetData>
    <row r="1" ht="15.75" customHeight="1" s="29">
      <c r="A1" s="37" t="inlineStr">
        <is>
          <t>PERP (may)</t>
        </is>
      </c>
      <c r="AA1" s="38" t="inlineStr">
        <is>
          <t>SPOT/ALPHA (may)</t>
        </is>
      </c>
      <c r="AK1" s="39" t="inlineStr">
        <is>
          <t>ON-CHAIN (ban tu dong)</t>
        </is>
      </c>
      <c r="AN1" s="40" t="inlineStr">
        <is>
          <t>MANUAL (operator)</t>
        </is>
      </c>
    </row>
    <row r="2" ht="15" customHeight="1" s="29">
      <c r="A2" s="41" t="inlineStr">
        <is>
          <t>date</t>
        </is>
      </c>
      <c r="B2" s="41" t="inlineStr">
        <is>
          <t>px_avg</t>
        </is>
      </c>
      <c r="C2" s="41" t="inlineStr">
        <is>
          <t>ret_1d</t>
        </is>
      </c>
      <c r="D2" s="41" t="inlineStr">
        <is>
          <t>vol_perp_usd</t>
        </is>
      </c>
      <c r="E2" s="41" t="inlineStr">
        <is>
          <t>taker_buy_pct</t>
        </is>
      </c>
      <c r="F2" s="41" t="inlineStr">
        <is>
          <t>f_avg</t>
        </is>
      </c>
      <c r="G2" s="41" t="inlineStr">
        <is>
          <t>f_min</t>
        </is>
      </c>
      <c r="H2" s="41" t="inlineStr">
        <is>
          <t>f_max</t>
        </is>
      </c>
      <c r="I2" s="41" t="inlineStr">
        <is>
          <t>f_n</t>
        </is>
      </c>
      <c r="J2" s="41" t="inlineStr">
        <is>
          <t>funding_regime</t>
        </is>
      </c>
      <c r="K2" s="41" t="inlineStr">
        <is>
          <t>pin_streak</t>
        </is>
      </c>
      <c r="L2" s="41" t="inlineStr">
        <is>
          <t>oi_usd</t>
        </is>
      </c>
      <c r="M2" s="41" t="inlineStr">
        <is>
          <t>oi_vs_med14</t>
        </is>
      </c>
      <c r="N2" s="41" t="inlineStr">
        <is>
          <t>oi_cycle_pos</t>
        </is>
      </c>
      <c r="O2" s="41" t="inlineStr">
        <is>
          <t>lsr_pos_r</t>
        </is>
      </c>
      <c r="P2" s="41" t="inlineStr">
        <is>
          <t>lsr_acc_r</t>
        </is>
      </c>
      <c r="Q2" s="41" t="inlineStr">
        <is>
          <t>lsr_global_r</t>
        </is>
      </c>
      <c r="R2" s="41" t="inlineStr">
        <is>
          <t>div_raw</t>
        </is>
      </c>
      <c r="S2" s="41" t="inlineStr">
        <is>
          <t>div_avg3</t>
        </is>
      </c>
      <c r="T2" s="41" t="inlineStr">
        <is>
          <t>glsr_slope_5d</t>
        </is>
      </c>
      <c r="U2" s="41" t="inlineStr">
        <is>
          <t>d_pos_3d</t>
        </is>
      </c>
      <c r="V2" s="41" t="inlineStr">
        <is>
          <t>d_acc_3d</t>
        </is>
      </c>
      <c r="W2" s="41" t="inlineStr">
        <is>
          <t>signals_bullish</t>
        </is>
      </c>
      <c r="X2" s="41" t="inlineStr">
        <is>
          <t>signals_suppress</t>
        </is>
      </c>
      <c r="Y2" s="41" t="inlineStr">
        <is>
          <t>screen_rank</t>
        </is>
      </c>
      <c r="Z2" s="41" t="inlineStr">
        <is>
          <t>data_bad</t>
        </is>
      </c>
      <c r="AA2" s="42" t="inlineStr">
        <is>
          <t>spot_venue</t>
        </is>
      </c>
      <c r="AB2" s="42" t="inlineStr">
        <is>
          <t>vol_spot_usd</t>
        </is>
      </c>
      <c r="AC2" s="42" t="inlineStr">
        <is>
          <t>taker_spot_pct</t>
        </is>
      </c>
      <c r="AD2" s="42" t="inlineStr">
        <is>
          <t>depth_bid2_usd</t>
        </is>
      </c>
      <c r="AE2" s="42" t="inlineStr">
        <is>
          <t>depth_ask2_usd</t>
        </is>
      </c>
      <c r="AF2" s="42" t="inlineStr">
        <is>
          <t>bid_wall_px</t>
        </is>
      </c>
      <c r="AG2" s="42" t="inlineStr">
        <is>
          <t>bid_wall_usd</t>
        </is>
      </c>
      <c r="AH2" s="42" t="inlineStr">
        <is>
          <t>ask_wall_px</t>
        </is>
      </c>
      <c r="AI2" s="42" t="inlineStr">
        <is>
          <t>ask_wall_usd</t>
        </is>
      </c>
      <c r="AJ2" s="42" t="inlineStr">
        <is>
          <t>alpha_suspect</t>
        </is>
      </c>
      <c r="AK2" s="43" t="inlineStr">
        <is>
          <t>exch_balance_delta</t>
        </is>
      </c>
      <c r="AL2" s="43" t="inlineStr">
        <is>
          <t>wallet_activity</t>
        </is>
      </c>
      <c r="AM2" s="43" t="inlineStr">
        <is>
          <t>dominance_pct</t>
        </is>
      </c>
      <c r="AN2" s="43" t="inlineStr">
        <is>
          <t>note_operator</t>
        </is>
      </c>
      <c r="AO2" s="43" t="inlineStr">
        <is>
          <t>mm_note</t>
        </is>
      </c>
    </row>
    <row r="3" ht="15" customHeight="1" s="29">
      <c r="A3" s="44" t="inlineStr">
        <is>
          <t>2026-07-01</t>
        </is>
      </c>
      <c r="B3" s="45" t="n">
        <v>0.0186562358117994</v>
      </c>
      <c r="D3" s="46" t="n">
        <v>16584068.48426</v>
      </c>
      <c r="E3" s="47" t="n">
        <v>0.4780007889437288</v>
      </c>
      <c r="F3" s="48" t="n">
        <v>5e-05</v>
      </c>
      <c r="G3" s="48" t="n">
        <v>5e-05</v>
      </c>
      <c r="H3" s="48" t="n">
        <v>5e-05</v>
      </c>
      <c r="I3" s="49" t="n">
        <v>6</v>
      </c>
      <c r="J3" s="50" t="inlineStr">
        <is>
          <t>PINNED</t>
        </is>
      </c>
      <c r="K3" s="28" t="n">
        <v>1</v>
      </c>
      <c r="L3" s="46" t="n">
        <v>3099014.82334011</v>
      </c>
      <c r="O3" s="51" t="n">
        <v>1.2677</v>
      </c>
      <c r="P3" s="51" t="n">
        <v>1.7941</v>
      </c>
      <c r="Q3" s="51" t="n">
        <v>1.8563</v>
      </c>
      <c r="R3" s="52">
        <f>IFERROR(O3/P3,"")</f>
        <v/>
      </c>
      <c r="S3" s="28">
        <f>IFERROR(AVERAGE(R1:R3),"")</f>
        <v/>
      </c>
      <c r="T3" s="28">
        <f>IFERROR(SLOPE(Q3:Q3,ROW(Q3:Q3)),"")</f>
        <v/>
      </c>
      <c r="AA3" s="50" t="n"/>
      <c r="AJ3" s="47">
        <f>IF(OR(AB3="",D3="",D3=0),"",AB3/D3)</f>
        <v/>
      </c>
    </row>
    <row r="4" ht="15" customHeight="1" s="29">
      <c r="A4" s="44" t="inlineStr">
        <is>
          <t>2026-07-02</t>
        </is>
      </c>
      <c r="B4" s="45" t="n">
        <v>0.0155407362488524</v>
      </c>
      <c r="C4" s="53">
        <f>IFERROR(B4/B3-1,"")</f>
        <v/>
      </c>
      <c r="D4" s="46" t="n">
        <v>16258105.08826</v>
      </c>
      <c r="E4" s="47" t="n">
        <v>0.4760134092685071</v>
      </c>
      <c r="F4" s="48" t="n">
        <v>5e-05</v>
      </c>
      <c r="G4" s="48" t="n">
        <v>5e-05</v>
      </c>
      <c r="H4" s="48" t="n">
        <v>5e-05</v>
      </c>
      <c r="I4" s="49" t="n">
        <v>6</v>
      </c>
      <c r="J4" s="50" t="inlineStr">
        <is>
          <t>PINNED</t>
        </is>
      </c>
      <c r="K4" s="28" t="n">
        <v>2</v>
      </c>
      <c r="L4" s="46" t="n">
        <v>2894341.86324902</v>
      </c>
      <c r="M4" s="28" t="n">
        <v>0.9659</v>
      </c>
      <c r="O4" s="51" t="n">
        <v>1.2383</v>
      </c>
      <c r="P4" s="51" t="n">
        <v>1.6874</v>
      </c>
      <c r="Q4" s="51" t="n">
        <v>1.5491</v>
      </c>
      <c r="R4" s="52">
        <f>IFERROR(O4/P4,"")</f>
        <v/>
      </c>
      <c r="S4" s="28">
        <f>IFERROR(AVERAGE(R2:R4),"")</f>
        <v/>
      </c>
      <c r="T4" s="28">
        <f>IFERROR(SLOPE(Q3:Q4,ROW(Q3:Q4)),"")</f>
        <v/>
      </c>
      <c r="AA4" s="50" t="n"/>
      <c r="AJ4" s="47">
        <f>IF(OR(AB4="",D4="",D4=0),"",AB4/D4)</f>
        <v/>
      </c>
    </row>
    <row r="5" ht="15" customHeight="1" s="29">
      <c r="A5" s="44" t="inlineStr">
        <is>
          <t>2026-07-03</t>
        </is>
      </c>
      <c r="B5" s="45" t="n">
        <v>0.0154007227098661</v>
      </c>
      <c r="C5" s="53">
        <f>IFERROR(B5/B4-1,"")</f>
        <v/>
      </c>
      <c r="D5" s="46" t="n">
        <v>15289807.35174</v>
      </c>
      <c r="E5" s="47" t="n">
        <v>0.4987639777670687</v>
      </c>
      <c r="F5" s="48" t="n">
        <v>0.000333755</v>
      </c>
      <c r="G5" s="48" t="n">
        <v>5e-05</v>
      </c>
      <c r="H5" s="48" t="n">
        <v>0.00175253</v>
      </c>
      <c r="I5" s="49" t="n">
        <v>6</v>
      </c>
      <c r="J5" s="50" t="inlineStr">
        <is>
          <t>FLOAT</t>
        </is>
      </c>
      <c r="L5" s="46" t="n">
        <v>3288740.32126068</v>
      </c>
      <c r="M5" s="28" t="n">
        <v>1.0612</v>
      </c>
      <c r="O5" s="51" t="n">
        <v>1.2157</v>
      </c>
      <c r="P5" s="51" t="n">
        <v>1.3031</v>
      </c>
      <c r="Q5" s="51" t="n">
        <v>1.1839</v>
      </c>
      <c r="R5" s="52">
        <f>IFERROR(O5/P5,"")</f>
        <v/>
      </c>
      <c r="S5" s="52">
        <f>IFERROR(AVERAGE(R3:R5),"")</f>
        <v/>
      </c>
      <c r="T5" s="28">
        <f>IFERROR(SLOPE(Q3:Q5,ROW(Q3:Q5)),"")</f>
        <v/>
      </c>
      <c r="AA5" s="50" t="n"/>
      <c r="AJ5" s="47">
        <f>IF(OR(AB5="",D5="",D5=0),"",AB5/D5)</f>
        <v/>
      </c>
    </row>
    <row r="6" ht="15" customHeight="1" s="29">
      <c r="A6" s="44" t="inlineStr">
        <is>
          <t>2026-07-04</t>
        </is>
      </c>
      <c r="B6" s="45" t="n">
        <v>0.0151692526652024</v>
      </c>
      <c r="C6" s="53">
        <f>IFERROR(B6/B5-1,"")</f>
        <v/>
      </c>
      <c r="D6" s="46" t="n">
        <v>9154051.07804</v>
      </c>
      <c r="E6" s="47" t="n">
        <v>0.4793609303403439</v>
      </c>
      <c r="F6" s="48" t="n">
        <v>0.0001978166666666</v>
      </c>
      <c r="G6" s="48" t="n">
        <v>5e-05</v>
      </c>
      <c r="H6" s="48" t="n">
        <v>0.00062215</v>
      </c>
      <c r="I6" s="49" t="n">
        <v>6</v>
      </c>
      <c r="J6" s="50" t="inlineStr">
        <is>
          <t>FLOAT</t>
        </is>
      </c>
      <c r="L6" s="46" t="n">
        <v>3368438.685</v>
      </c>
      <c r="M6" s="28" t="n">
        <v>1.0547</v>
      </c>
      <c r="O6" s="51" t="n">
        <v>1.6161</v>
      </c>
      <c r="P6" s="51" t="n">
        <v>0.9992</v>
      </c>
      <c r="Q6" s="51" t="n">
        <v>0.9212</v>
      </c>
      <c r="R6" s="52">
        <f>IFERROR(O6/P6,"")</f>
        <v/>
      </c>
      <c r="S6" s="52">
        <f>IFERROR(AVERAGE(R4:R6),"")</f>
        <v/>
      </c>
      <c r="T6" s="28">
        <f>IFERROR(SLOPE(Q3:Q6,ROW(Q3:Q6)),"")</f>
        <v/>
      </c>
      <c r="U6" s="53">
        <f>IFERROR(O6/O3-1,"")</f>
        <v/>
      </c>
      <c r="V6" s="53">
        <f>IFERROR(P6/P3-1,"")</f>
        <v/>
      </c>
      <c r="AA6" s="50" t="n"/>
      <c r="AJ6" s="47">
        <f>IF(OR(AB6="",D6="",D6=0),"",AB6/D6)</f>
        <v/>
      </c>
    </row>
    <row r="7" ht="15" customHeight="1" s="29">
      <c r="A7" s="44" t="inlineStr">
        <is>
          <t>2026-07-05</t>
        </is>
      </c>
      <c r="B7" s="45" t="n">
        <v>0.0151713984335179</v>
      </c>
      <c r="C7" s="53">
        <f>IFERROR(B7/B6-1,"")</f>
        <v/>
      </c>
      <c r="D7" s="46" t="n">
        <v>8775938.510639999</v>
      </c>
      <c r="E7" s="47" t="n">
        <v>0.4869234392252542</v>
      </c>
      <c r="F7" s="48" t="n">
        <v>0.0001027616666666</v>
      </c>
      <c r="G7" s="48" t="n">
        <v>5e-05</v>
      </c>
      <c r="H7" s="48" t="n">
        <v>0.00026516</v>
      </c>
      <c r="I7" s="49" t="n">
        <v>6</v>
      </c>
      <c r="J7" s="50" t="inlineStr">
        <is>
          <t>FLOAT</t>
        </is>
      </c>
      <c r="L7" s="46" t="n">
        <v>3822812.78385291</v>
      </c>
      <c r="M7" s="28" t="n">
        <v>1.1624</v>
      </c>
      <c r="O7" s="51" t="n">
        <v>1.6555</v>
      </c>
      <c r="P7" s="51" t="n">
        <v>1.0342</v>
      </c>
      <c r="Q7" s="51" t="n">
        <v>0.9697</v>
      </c>
      <c r="R7" s="52">
        <f>IFERROR(O7/P7,"")</f>
        <v/>
      </c>
      <c r="S7" s="52">
        <f>IFERROR(AVERAGE(R5:R7),"")</f>
        <v/>
      </c>
      <c r="T7" s="28">
        <f>IFERROR(SLOPE(Q3:Q7,ROW(Q3:Q7)),"")</f>
        <v/>
      </c>
      <c r="U7" s="53">
        <f>IFERROR(O7/O4-1,"")</f>
        <v/>
      </c>
      <c r="V7" s="53">
        <f>IFERROR(P7/P4-1,"")</f>
        <v/>
      </c>
      <c r="AA7" s="50" t="n"/>
      <c r="AJ7" s="47">
        <f>IF(OR(AB7="",D7="",D7=0),"",AB7/D7)</f>
        <v/>
      </c>
    </row>
    <row r="8" ht="15" customHeight="1" s="29">
      <c r="A8" s="44" t="inlineStr">
        <is>
          <t>2026-07-06</t>
        </is>
      </c>
      <c r="B8" s="45" t="n">
        <v>0.0149669649761218</v>
      </c>
      <c r="C8" s="53">
        <f>IFERROR(B8/B7-1,"")</f>
        <v/>
      </c>
      <c r="D8" s="46" t="n">
        <v>3998636.20652</v>
      </c>
      <c r="E8" s="47" t="n">
        <v>0.4896940602481673</v>
      </c>
      <c r="F8" s="48" t="n">
        <v>5e-05</v>
      </c>
      <c r="G8" s="48" t="n">
        <v>5e-05</v>
      </c>
      <c r="H8" s="48" t="n">
        <v>5e-05</v>
      </c>
      <c r="I8" s="49" t="n">
        <v>6</v>
      </c>
      <c r="J8" s="50" t="inlineStr">
        <is>
          <t>PINNED</t>
        </is>
      </c>
      <c r="K8" s="28" t="n">
        <v>1</v>
      </c>
      <c r="L8" s="46" t="n">
        <v>4019035.35353</v>
      </c>
      <c r="M8" s="28" t="n">
        <v>1.2074</v>
      </c>
      <c r="O8" s="51" t="n">
        <v>1.6657</v>
      </c>
      <c r="P8" s="51" t="n">
        <v>1.1739</v>
      </c>
      <c r="Q8" s="51" t="n">
        <v>1.1151</v>
      </c>
      <c r="R8" s="52">
        <f>IFERROR(O8/P8,"")</f>
        <v/>
      </c>
      <c r="S8" s="52">
        <f>IFERROR(AVERAGE(R6:R8),"")</f>
        <v/>
      </c>
      <c r="T8" s="52">
        <f>IFERROR(SLOPE(Q4:Q8,ROW(Q4:Q8)),"")</f>
        <v/>
      </c>
      <c r="U8" s="53">
        <f>IFERROR(O8/O5-1,"")</f>
        <v/>
      </c>
      <c r="V8" s="53">
        <f>IFERROR(P8/P5-1,"")</f>
        <v/>
      </c>
      <c r="AA8" s="50" t="n"/>
      <c r="AJ8" s="47">
        <f>IF(OR(AB8="",D8="",D8=0),"",AB8/D8)</f>
        <v/>
      </c>
    </row>
    <row r="9" ht="15" customHeight="1" s="29">
      <c r="A9" s="44" t="inlineStr">
        <is>
          <t>2026-07-07</t>
        </is>
      </c>
      <c r="B9" s="45" t="n">
        <v>0.0149050859345661</v>
      </c>
      <c r="C9" s="53">
        <f>IFERROR(B9/B8-1,"")</f>
        <v/>
      </c>
      <c r="D9" s="46" t="n">
        <v>2234192.34128</v>
      </c>
      <c r="E9" s="47" t="n">
        <v>0.5182033005451896</v>
      </c>
      <c r="F9" s="48" t="n">
        <v>0.0001081583333333</v>
      </c>
      <c r="G9" s="48" t="n">
        <v>5e-05</v>
      </c>
      <c r="H9" s="48" t="n">
        <v>0.0002796</v>
      </c>
      <c r="I9" s="49" t="n">
        <v>6</v>
      </c>
      <c r="J9" s="50" t="inlineStr">
        <is>
          <t>FLOAT</t>
        </is>
      </c>
      <c r="L9" s="46" t="n">
        <v>3919803.9201946</v>
      </c>
      <c r="M9" s="28" t="n">
        <v>1.1637</v>
      </c>
      <c r="O9" s="51" t="n">
        <v>1.7207</v>
      </c>
      <c r="P9" s="51" t="n">
        <v>1.373</v>
      </c>
      <c r="Q9" s="51" t="n">
        <v>1.3793</v>
      </c>
      <c r="R9" s="52">
        <f>IFERROR(O9/P9,"")</f>
        <v/>
      </c>
      <c r="S9" s="52">
        <f>IFERROR(AVERAGE(R7:R9),"")</f>
        <v/>
      </c>
      <c r="T9" s="52">
        <f>IFERROR(SLOPE(Q5:Q9,ROW(Q5:Q9)),"")</f>
        <v/>
      </c>
      <c r="U9" s="53">
        <f>IFERROR(O9/O6-1,"")</f>
        <v/>
      </c>
      <c r="V9" s="53">
        <f>IFERROR(P9/P6-1,"")</f>
        <v/>
      </c>
      <c r="AA9" s="50" t="n"/>
      <c r="AJ9" s="47">
        <f>IF(OR(AB9="",D9="",D9=0),"",AB9/D9)</f>
        <v/>
      </c>
    </row>
    <row r="10" ht="15" customHeight="1" s="29">
      <c r="A10" s="44" t="inlineStr">
        <is>
          <t>2026-07-08</t>
        </is>
      </c>
      <c r="B10" s="45" t="n">
        <v>0.0147307021595668</v>
      </c>
      <c r="C10" s="53">
        <f>IFERROR(B10/B9-1,"")</f>
        <v/>
      </c>
      <c r="D10" s="46" t="n">
        <v>2039666.02208</v>
      </c>
      <c r="E10" s="47" t="n">
        <v>0.5287559261604627</v>
      </c>
      <c r="F10" s="48" t="n">
        <v>7.325333333333333e-05</v>
      </c>
      <c r="G10" s="48" t="n">
        <v>5e-05</v>
      </c>
      <c r="H10" s="48" t="n">
        <v>0.00015766</v>
      </c>
      <c r="I10" s="49" t="n">
        <v>6</v>
      </c>
      <c r="J10" s="50" t="inlineStr">
        <is>
          <t>FLOAT</t>
        </is>
      </c>
      <c r="L10" s="46" t="n">
        <v>3610128.86241584</v>
      </c>
      <c r="M10" s="28" t="n">
        <v>1.0346</v>
      </c>
      <c r="O10" s="51" t="n">
        <v>1.6935</v>
      </c>
      <c r="P10" s="51" t="n">
        <v>1.6788</v>
      </c>
      <c r="Q10" s="51" t="n">
        <v>1.7495</v>
      </c>
      <c r="R10" s="52">
        <f>IFERROR(O10/P10,"")</f>
        <v/>
      </c>
      <c r="S10" s="52">
        <f>IFERROR(AVERAGE(R8:R10),"")</f>
        <v/>
      </c>
      <c r="T10" s="52">
        <f>IFERROR(SLOPE(Q6:Q10,ROW(Q6:Q10)),"")</f>
        <v/>
      </c>
      <c r="U10" s="53">
        <f>IFERROR(O10/O7-1,"")</f>
        <v/>
      </c>
      <c r="V10" s="53">
        <f>IFERROR(P10/P7-1,"")</f>
        <v/>
      </c>
      <c r="AA10" s="50" t="n"/>
      <c r="AJ10" s="47">
        <f>IF(OR(AB10="",D10="",D10=0),"",AB10/D10)</f>
        <v/>
      </c>
      <c r="AN10" s="50" t="n"/>
    </row>
    <row r="11" ht="15" customHeight="1" s="29">
      <c r="A11" s="44" t="inlineStr">
        <is>
          <t>2026-07-09</t>
        </is>
      </c>
      <c r="B11" s="45" t="n">
        <v>0.0149165190488646</v>
      </c>
      <c r="C11" s="53">
        <f>IFERROR(B11/B10-1,"")</f>
        <v/>
      </c>
      <c r="D11" s="46" t="n">
        <v>1585348.52764</v>
      </c>
      <c r="E11" s="47" t="n">
        <v>0.4834225092042596</v>
      </c>
      <c r="F11" s="48" t="n">
        <v>5e-05</v>
      </c>
      <c r="G11" s="48" t="n">
        <v>5e-05</v>
      </c>
      <c r="H11" s="48" t="n">
        <v>5e-05</v>
      </c>
      <c r="I11" s="49" t="n">
        <v>6</v>
      </c>
      <c r="J11" s="28" t="inlineStr">
        <is>
          <t>PINNED</t>
        </is>
      </c>
      <c r="K11" s="28" t="n">
        <v>1</v>
      </c>
      <c r="L11" s="46" t="n">
        <v>3703377.95163</v>
      </c>
      <c r="M11" s="28" t="n">
        <v>1.0258</v>
      </c>
      <c r="O11" s="51" t="n">
        <v>1.649</v>
      </c>
      <c r="P11" s="51" t="n">
        <v>1.777</v>
      </c>
      <c r="Q11" s="51" t="n">
        <v>2.0139</v>
      </c>
      <c r="R11" s="52">
        <f>IFERROR(O11/P11,"")</f>
        <v/>
      </c>
      <c r="S11" s="52">
        <f>IFERROR(AVERAGE(R9:R11),"")</f>
        <v/>
      </c>
      <c r="T11" s="52">
        <f>IFERROR(SLOPE(Q7:Q11,ROW(Q7:Q11)),"")</f>
        <v/>
      </c>
      <c r="U11" s="53">
        <f>IFERROR(O11/O8-1,"")</f>
        <v/>
      </c>
      <c r="V11" s="53">
        <f>IFERROR(P11/P8-1,"")</f>
        <v/>
      </c>
      <c r="W11" s="50" t="n"/>
      <c r="AA11" s="50" t="n"/>
      <c r="AJ11" s="47">
        <f>IF(OR(AB11="",D11="",D11=0),"",AB11/D11)</f>
        <v/>
      </c>
      <c r="AN11" s="50" t="n"/>
    </row>
    <row r="12" ht="15" customHeight="1" s="29">
      <c r="A12" s="44" t="inlineStr">
        <is>
          <t>2026-07-10</t>
        </is>
      </c>
      <c r="B12" s="45" t="n">
        <v>0.015688121367546</v>
      </c>
      <c r="C12" s="53">
        <f>IFERROR(B12/B11-1,"")</f>
        <v/>
      </c>
      <c r="D12" s="46" t="n">
        <v>3092893.51746</v>
      </c>
      <c r="E12" s="47" t="n">
        <v>0.4726014443408847</v>
      </c>
      <c r="F12" s="48" t="n">
        <v>0.0002229483333333</v>
      </c>
      <c r="G12" s="48" t="n">
        <v>5e-05</v>
      </c>
      <c r="H12" s="48" t="n">
        <v>0.0003584</v>
      </c>
      <c r="I12" s="49" t="n">
        <v>6</v>
      </c>
      <c r="J12" s="28" t="inlineStr">
        <is>
          <t>FLOAT</t>
        </is>
      </c>
      <c r="L12" s="46" t="n">
        <v>3785021.2347584</v>
      </c>
      <c r="M12" s="28" t="n">
        <v>1.0351</v>
      </c>
      <c r="O12" s="51" t="n">
        <v>1.6521</v>
      </c>
      <c r="P12" s="51" t="n">
        <v>1.8074</v>
      </c>
      <c r="Q12" s="51" t="n">
        <v>2.1027</v>
      </c>
      <c r="R12" s="52">
        <f>IFERROR(O12/P12,"")</f>
        <v/>
      </c>
      <c r="S12" s="52">
        <f>IFERROR(AVERAGE(R10:R12),"")</f>
        <v/>
      </c>
      <c r="T12" s="52">
        <f>IFERROR(SLOPE(Q8:Q12,ROW(Q8:Q12)),"")</f>
        <v/>
      </c>
      <c r="U12" s="53">
        <f>IFERROR(O12/O9-1,"")</f>
        <v/>
      </c>
      <c r="V12" s="53">
        <f>IFERROR(P12/P9-1,"")</f>
        <v/>
      </c>
      <c r="W12" s="50" t="n"/>
      <c r="AA12" s="50" t="n"/>
      <c r="AJ12" s="47">
        <f>IF(OR(AB12="",D12="",D12=0),"",AB12/D12)</f>
        <v/>
      </c>
    </row>
    <row r="13" ht="15" customHeight="1" s="29">
      <c r="A13" s="44" t="inlineStr">
        <is>
          <t>2026-07-11</t>
        </is>
      </c>
      <c r="B13" s="45" t="n">
        <v>0.0149643088402328</v>
      </c>
      <c r="C13" s="53">
        <f>IFERROR(B13/B12-1,"")</f>
        <v/>
      </c>
      <c r="D13" s="46" t="n">
        <v>5087129.7194</v>
      </c>
      <c r="E13" s="47" t="n">
        <v>0.4201435632151012</v>
      </c>
      <c r="F13" s="48" t="n">
        <v>0.00028204</v>
      </c>
      <c r="G13" s="48" t="n">
        <v>5e-05</v>
      </c>
      <c r="H13" s="48" t="n">
        <v>0.00046765</v>
      </c>
      <c r="I13" s="49" t="n">
        <v>6</v>
      </c>
      <c r="J13" s="28" t="inlineStr">
        <is>
          <t>FLOAT</t>
        </is>
      </c>
      <c r="L13" s="46" t="n">
        <v>4039535.29168</v>
      </c>
      <c r="M13" s="28" t="n">
        <v>1.0908</v>
      </c>
      <c r="O13" s="51" t="n">
        <v>1.6568</v>
      </c>
      <c r="P13" s="51" t="n">
        <v>1.8835</v>
      </c>
      <c r="Q13" s="51" t="n">
        <v>2.1358</v>
      </c>
      <c r="R13" s="52">
        <f>IFERROR(O13/P13,"")</f>
        <v/>
      </c>
      <c r="S13" s="52">
        <f>IFERROR(AVERAGE(R11:R13),"")</f>
        <v/>
      </c>
      <c r="T13" s="52">
        <f>IFERROR(SLOPE(Q9:Q13,ROW(Q9:Q13)),"")</f>
        <v/>
      </c>
      <c r="U13" s="53">
        <f>IFERROR(O13/O10-1,"")</f>
        <v/>
      </c>
      <c r="V13" s="53">
        <f>IFERROR(P13/P10-1,"")</f>
        <v/>
      </c>
      <c r="W13" s="50" t="n"/>
      <c r="AA13" s="50" t="n"/>
      <c r="AJ13" s="47">
        <f>IF(OR(AB13="",D13="",D13=0),"",AB13/D13)</f>
        <v/>
      </c>
    </row>
    <row r="14" ht="15" customHeight="1" s="29">
      <c r="A14" s="44" t="inlineStr">
        <is>
          <t>2026-07-12</t>
        </is>
      </c>
      <c r="B14" s="45" t="n">
        <v>0.0156643305572706</v>
      </c>
      <c r="C14" s="53">
        <f>IFERROR(B14/B13-1,"")</f>
        <v/>
      </c>
      <c r="D14" s="46" t="n">
        <v>7737632.26554</v>
      </c>
      <c r="E14" s="47" t="n">
        <v>0.4939444565350427</v>
      </c>
      <c r="F14" s="48" t="n">
        <v>0.0001749233333333</v>
      </c>
      <c r="G14" s="48" t="n">
        <v>5.781e-05</v>
      </c>
      <c r="H14" s="48" t="n">
        <v>0.00023305</v>
      </c>
      <c r="I14" s="49" t="n">
        <v>6</v>
      </c>
      <c r="J14" s="28" t="inlineStr">
        <is>
          <t>FLOAT</t>
        </is>
      </c>
      <c r="L14" s="46" t="n">
        <v>3648049.4052</v>
      </c>
      <c r="M14" s="28" t="n">
        <v>0.9925</v>
      </c>
      <c r="O14" s="51" t="n">
        <v>1.7032</v>
      </c>
      <c r="P14" s="51" t="n">
        <v>1.694</v>
      </c>
      <c r="Q14" s="51" t="n">
        <v>1.7571</v>
      </c>
      <c r="R14" s="52">
        <f>IFERROR(O14/P14,"")</f>
        <v/>
      </c>
      <c r="S14" s="52">
        <f>IFERROR(AVERAGE(R12:R14),"")</f>
        <v/>
      </c>
      <c r="T14" s="52">
        <f>IFERROR(SLOPE(Q10:Q14,ROW(Q10:Q14)),"")</f>
        <v/>
      </c>
      <c r="U14" s="53">
        <f>IFERROR(O14/O11-1,"")</f>
        <v/>
      </c>
      <c r="V14" s="53">
        <f>IFERROR(P14/P11-1,"")</f>
        <v/>
      </c>
      <c r="W14" s="50" t="n"/>
      <c r="AA14" s="50" t="n"/>
      <c r="AJ14" s="47">
        <f>IF(OR(AB14="",D14="",D14=0),"",AB14/D14)</f>
        <v/>
      </c>
    </row>
    <row r="15" ht="15" customHeight="1" s="29">
      <c r="A15" s="44" t="inlineStr">
        <is>
          <t>2026-07-13</t>
        </is>
      </c>
      <c r="B15" s="45" t="n">
        <v>0.0150097239324522</v>
      </c>
      <c r="C15" s="53">
        <f>IFERROR(B15/B14-1,"")</f>
        <v/>
      </c>
      <c r="D15" s="46" t="n">
        <v>5876711.16144</v>
      </c>
      <c r="E15" s="47" t="n">
        <v>0.4754047375273049</v>
      </c>
      <c r="F15" s="48" t="n">
        <v>0.00016166</v>
      </c>
      <c r="G15" s="48" t="n">
        <v>5e-05</v>
      </c>
      <c r="H15" s="48" t="n">
        <v>0.00027553</v>
      </c>
      <c r="I15" s="49" t="n">
        <v>6</v>
      </c>
      <c r="J15" s="28" t="inlineStr">
        <is>
          <t>FLOAT</t>
        </is>
      </c>
      <c r="L15" s="46" t="n">
        <v>4181571.77787</v>
      </c>
      <c r="M15" s="28" t="n">
        <v>1.1291</v>
      </c>
      <c r="O15" s="51" t="n">
        <v>1.7488</v>
      </c>
      <c r="P15" s="51" t="n">
        <v>1.2676</v>
      </c>
      <c r="Q15" s="51" t="n">
        <v>1.2427</v>
      </c>
      <c r="R15" s="52">
        <f>IFERROR(O15/P15,"")</f>
        <v/>
      </c>
      <c r="S15" s="52">
        <f>IFERROR(AVERAGE(R13:R15),"")</f>
        <v/>
      </c>
      <c r="T15" s="52">
        <f>IFERROR(SLOPE(Q11:Q15,ROW(Q11:Q15)),"")</f>
        <v/>
      </c>
      <c r="U15" s="53">
        <f>IFERROR(O15/O12-1,"")</f>
        <v/>
      </c>
      <c r="V15" s="53">
        <f>IFERROR(P15/P12-1,"")</f>
        <v/>
      </c>
      <c r="W15" s="50" t="n"/>
      <c r="AA15" s="50" t="n"/>
      <c r="AJ15" s="47">
        <f>IF(OR(AB15="",D15="",D15=0),"",AB15/D15)</f>
        <v/>
      </c>
      <c r="AL15" s="50" t="n"/>
    </row>
    <row r="16" ht="15" customHeight="1" s="29">
      <c r="A16" s="44" t="inlineStr">
        <is>
          <t>2026-07-14</t>
        </is>
      </c>
      <c r="B16" s="45" t="n">
        <v>0.0152035500639097</v>
      </c>
      <c r="C16" s="53">
        <f>IFERROR(B16/B15-1,"")</f>
        <v/>
      </c>
      <c r="D16" s="46" t="n">
        <v>2231442.34452</v>
      </c>
      <c r="E16" s="47" t="n">
        <v>0.4851628254050874</v>
      </c>
      <c r="F16" s="48" t="n">
        <v>5e-05</v>
      </c>
      <c r="G16" s="48" t="n">
        <v>5e-05</v>
      </c>
      <c r="H16" s="48" t="n">
        <v>5e-05</v>
      </c>
      <c r="I16" s="49" t="n">
        <v>6</v>
      </c>
      <c r="J16" s="28" t="inlineStr">
        <is>
          <t>PINNED</t>
        </is>
      </c>
      <c r="K16" s="28" t="n">
        <v>1</v>
      </c>
      <c r="L16" s="46" t="n">
        <v>3966026.87273247</v>
      </c>
      <c r="M16" s="28" t="n">
        <v>1.0592</v>
      </c>
      <c r="O16" s="51" t="n">
        <v>1.8127</v>
      </c>
      <c r="P16" s="51" t="n">
        <v>1.2889</v>
      </c>
      <c r="Q16" s="51" t="n">
        <v>1.2168</v>
      </c>
      <c r="R16" s="52">
        <f>IFERROR(O16/P16,"")</f>
        <v/>
      </c>
      <c r="S16" s="52">
        <f>IFERROR(AVERAGE(R14:R16),"")</f>
        <v/>
      </c>
      <c r="T16" s="52">
        <f>IFERROR(SLOPE(Q12:Q16,ROW(Q12:Q16)),"")</f>
        <v/>
      </c>
      <c r="U16" s="53">
        <f>IFERROR(O16/O13-1,"")</f>
        <v/>
      </c>
      <c r="V16" s="53">
        <f>IFERROR(P16/P13-1,"")</f>
        <v/>
      </c>
      <c r="W16" s="50" t="n"/>
      <c r="AA16" s="50" t="n"/>
      <c r="AJ16" s="47">
        <f>IF(OR(AB16="",D16="",D16=0),"",AB16/D16)</f>
        <v/>
      </c>
    </row>
    <row r="17" ht="15" customHeight="1" s="29">
      <c r="A17" s="44" t="inlineStr">
        <is>
          <t>2026-07-15</t>
        </is>
      </c>
      <c r="B17" s="45" t="n">
        <v>0.0153643680398057</v>
      </c>
      <c r="C17" s="53">
        <f>IFERROR(B17/B16-1,"")</f>
        <v/>
      </c>
      <c r="D17" s="46" t="n">
        <v>15102738.57204</v>
      </c>
      <c r="E17" s="47" t="n">
        <v>0.5092075492693098</v>
      </c>
      <c r="F17" s="48" t="n">
        <v>0.0001101583333333</v>
      </c>
      <c r="G17" s="48" t="n">
        <v>5e-05</v>
      </c>
      <c r="H17" s="48" t="n">
        <v>0.00041095</v>
      </c>
      <c r="I17" s="49" t="n">
        <v>6</v>
      </c>
      <c r="J17" s="28" t="inlineStr">
        <is>
          <t>FLOAT</t>
        </is>
      </c>
      <c r="L17" s="46" t="n">
        <v>4045709.36016</v>
      </c>
      <c r="M17" s="54" t="n">
        <v>1.0636</v>
      </c>
      <c r="O17" s="51" t="n">
        <v>1.8834</v>
      </c>
      <c r="P17" s="51" t="n">
        <v>1.4618</v>
      </c>
      <c r="Q17" s="51" t="n">
        <v>1.4814</v>
      </c>
      <c r="R17" s="52">
        <f>IFERROR(O17/P17,"")</f>
        <v/>
      </c>
      <c r="S17" s="52">
        <f>IFERROR(AVERAGE(R15:R17),"")</f>
        <v/>
      </c>
      <c r="T17" s="52">
        <f>IFERROR(SLOPE(Q13:Q17,ROW(Q13:Q17)),"")</f>
        <v/>
      </c>
      <c r="U17" s="53">
        <f>IFERROR(O17/O14-1,"")</f>
        <v/>
      </c>
      <c r="V17" s="53">
        <f>IFERROR(P17/P14-1,"")</f>
        <v/>
      </c>
      <c r="W17" s="50" t="n"/>
      <c r="AA17" s="50" t="n"/>
      <c r="AJ17" s="47">
        <f>IF(OR(AB17="",D17="",D17=0),"",AB17/D17)</f>
        <v/>
      </c>
    </row>
    <row r="18" ht="15" customHeight="1" s="29">
      <c r="A18" s="44" t="inlineStr">
        <is>
          <t>2026-07-16</t>
        </is>
      </c>
      <c r="B18" s="45" t="n">
        <v>0.0154595186864351</v>
      </c>
      <c r="C18" s="53">
        <f>IFERROR(B18/B17-1,"")</f>
        <v/>
      </c>
      <c r="D18" s="46" t="n">
        <v>3673663.97688</v>
      </c>
      <c r="E18" s="47" t="n">
        <v>0.4874717761027368</v>
      </c>
      <c r="F18" s="48" t="n">
        <v>0.0001210316666666</v>
      </c>
      <c r="G18" s="48" t="n">
        <v>5e-05</v>
      </c>
      <c r="H18" s="48" t="n">
        <v>0.0002721</v>
      </c>
      <c r="I18" s="49" t="n">
        <v>6</v>
      </c>
      <c r="J18" s="28" t="inlineStr">
        <is>
          <t>FLOAT</t>
        </is>
      </c>
      <c r="L18" s="46" t="n">
        <v>6125332.04553</v>
      </c>
      <c r="M18" s="54" t="n">
        <v>1.5822</v>
      </c>
      <c r="O18" s="51" t="n">
        <v>1.4154</v>
      </c>
      <c r="P18" s="51" t="n">
        <v>1.5615</v>
      </c>
      <c r="Q18" s="51" t="n">
        <v>1.4667</v>
      </c>
      <c r="R18" s="52">
        <f>IFERROR(O18/P18,"")</f>
        <v/>
      </c>
      <c r="S18" s="52">
        <f>IFERROR(AVERAGE(R16:R18),"")</f>
        <v/>
      </c>
      <c r="T18" s="52">
        <f>IFERROR(SLOPE(Q14:Q18,ROW(Q14:Q18)),"")</f>
        <v/>
      </c>
      <c r="U18" s="53">
        <f>IFERROR(O18/O15-1,"")</f>
        <v/>
      </c>
      <c r="V18" s="53">
        <f>IFERROR(P18/P15-1,"")</f>
        <v/>
      </c>
      <c r="W18" s="50" t="n"/>
      <c r="AA18" s="50" t="n"/>
      <c r="AJ18" s="47">
        <f>IF(OR(AB18="",D18="",D18=0),"",AB18/D18)</f>
        <v/>
      </c>
    </row>
    <row r="19" ht="15" customHeight="1" s="29">
      <c r="A19" s="44" t="inlineStr">
        <is>
          <t>2026-07-17</t>
        </is>
      </c>
      <c r="B19" s="45" t="n">
        <v>0.0169219684626267</v>
      </c>
      <c r="C19" s="53">
        <f>IFERROR(B19/B18-1,"")</f>
        <v/>
      </c>
      <c r="D19" s="46" t="n">
        <v>24678006.63704</v>
      </c>
      <c r="E19" s="47" t="n">
        <v>0.4971711271568416</v>
      </c>
      <c r="F19" s="48" t="n">
        <v>0.0002538166666666</v>
      </c>
      <c r="G19" s="48" t="n">
        <v>0.00011075</v>
      </c>
      <c r="H19" s="48" t="n">
        <v>0.00035747</v>
      </c>
      <c r="I19" s="49" t="n">
        <v>6</v>
      </c>
      <c r="J19" s="50" t="inlineStr">
        <is>
          <t>FLOAT</t>
        </is>
      </c>
      <c r="L19" s="46" t="n">
        <v>6122375.81934</v>
      </c>
      <c r="M19" s="54" t="n">
        <v>1.5528</v>
      </c>
      <c r="O19" s="51" t="n">
        <v>1.4507</v>
      </c>
      <c r="P19" s="51" t="n">
        <v>1.5628</v>
      </c>
      <c r="Q19" s="51" t="n">
        <v>1.4969</v>
      </c>
      <c r="R19" s="52">
        <f>IFERROR(O19/P19,"")</f>
        <v/>
      </c>
      <c r="S19" s="52">
        <f>IFERROR(AVERAGE(R17:R19),"")</f>
        <v/>
      </c>
      <c r="T19" s="52">
        <f>IFERROR(SLOPE(Q15:Q19,ROW(Q15:Q19)),"")</f>
        <v/>
      </c>
      <c r="U19" s="53">
        <f>IFERROR(O19/O16-1,"")</f>
        <v/>
      </c>
      <c r="V19" s="53">
        <f>IFERROR(P19/P16-1,"")</f>
        <v/>
      </c>
      <c r="W19" s="50" t="n"/>
      <c r="AA19" s="50" t="n"/>
      <c r="AJ19" s="47">
        <f>IF(OR(AB19="",D19="",D19=0),"",AB19/D19)</f>
        <v/>
      </c>
    </row>
    <row r="20" ht="15" customHeight="1" s="29">
      <c r="A20" s="44" t="inlineStr">
        <is>
          <t>2026-07-18</t>
        </is>
      </c>
      <c r="B20" s="45" t="n">
        <v>0.0171765164045538</v>
      </c>
      <c r="C20" s="53">
        <f>IFERROR(B20/B19-1,"")</f>
        <v/>
      </c>
      <c r="D20" s="46" t="n">
        <v>8491991.76338</v>
      </c>
      <c r="E20" s="47" t="n">
        <v>0.4962701448405486</v>
      </c>
      <c r="F20" s="48" t="n">
        <v>0.0001529483333333</v>
      </c>
      <c r="G20" s="48" t="n">
        <v>5e-05</v>
      </c>
      <c r="H20" s="48" t="n">
        <v>0.00037102</v>
      </c>
      <c r="I20" s="49" t="n">
        <v>6</v>
      </c>
      <c r="J20" s="28" t="inlineStr">
        <is>
          <t>FLOAT</t>
        </is>
      </c>
      <c r="L20" s="46" t="n">
        <v>7178207.5735595</v>
      </c>
      <c r="M20" s="54" t="n">
        <v>1.7979</v>
      </c>
      <c r="O20" s="51" t="n">
        <v>1.4419</v>
      </c>
      <c r="P20" s="51" t="n">
        <v>1.2696</v>
      </c>
      <c r="Q20" s="51" t="n">
        <v>1.2841</v>
      </c>
      <c r="R20" s="52">
        <f>IFERROR(O20/P20,"")</f>
        <v/>
      </c>
      <c r="S20" s="52">
        <f>IFERROR(AVERAGE(R18:R20),"")</f>
        <v/>
      </c>
      <c r="T20" s="52">
        <f>IFERROR(SLOPE(Q16:Q20,ROW(Q16:Q20)),"")</f>
        <v/>
      </c>
      <c r="U20" s="53">
        <f>IFERROR(O20/O17-1,"")</f>
        <v/>
      </c>
      <c r="V20" s="53">
        <f>IFERROR(P20/P17-1,"")</f>
        <v/>
      </c>
      <c r="AA20" s="50" t="n"/>
      <c r="AJ20" s="47">
        <f>IF(OR(AB20="",D20="",D20=0),"",AB20/D20)</f>
        <v/>
      </c>
    </row>
    <row r="21" ht="15" customHeight="1" s="29">
      <c r="A21" s="44" t="inlineStr">
        <is>
          <t>2026-07-19</t>
        </is>
      </c>
      <c r="B21" s="45" t="n">
        <v>0.0173322098095639</v>
      </c>
      <c r="C21" s="53">
        <f>IFERROR(B21/B20-1,"")</f>
        <v/>
      </c>
      <c r="D21" s="46" t="n">
        <v>16647813.36078</v>
      </c>
      <c r="E21" s="47" t="n">
        <v>0.4870963550740638</v>
      </c>
      <c r="F21" s="48" t="n">
        <v>0.0001377833333333</v>
      </c>
      <c r="G21" s="48" t="n">
        <v>5e-05</v>
      </c>
      <c r="H21" s="48" t="n">
        <v>0.00054775</v>
      </c>
      <c r="I21" s="49" t="n">
        <v>6</v>
      </c>
      <c r="J21" s="28" t="inlineStr">
        <is>
          <t>FLOAT</t>
        </is>
      </c>
      <c r="L21" s="46" t="n">
        <v>6982667.8074</v>
      </c>
      <c r="M21" s="54" t="n">
        <v>1.733</v>
      </c>
      <c r="O21" s="51" t="n">
        <v>1.4585</v>
      </c>
      <c r="P21" s="51" t="n">
        <v>1.2262</v>
      </c>
      <c r="Q21" s="51" t="n">
        <v>1.1753</v>
      </c>
      <c r="R21" s="52">
        <f>IFERROR(O21/P21,"")</f>
        <v/>
      </c>
      <c r="S21" s="52">
        <f>IFERROR(AVERAGE(R19:R21),"")</f>
        <v/>
      </c>
      <c r="T21" s="52">
        <f>IFERROR(SLOPE(Q17:Q21,ROW(Q17:Q21)),"")</f>
        <v/>
      </c>
      <c r="U21" s="53">
        <f>IFERROR(O21/O18-1,"")</f>
        <v/>
      </c>
      <c r="V21" s="53">
        <f>IFERROR(P21/P18-1,"")</f>
        <v/>
      </c>
      <c r="AA21" s="50" t="n"/>
      <c r="AJ21" s="47">
        <f>IF(OR(AB21="",D21="",D21=0),"",AB21/D21)</f>
        <v/>
      </c>
    </row>
    <row r="22" ht="15" customHeight="1" s="29">
      <c r="A22" s="44" t="inlineStr">
        <is>
          <t>2026-07-20</t>
        </is>
      </c>
      <c r="B22" s="45" t="n">
        <v>0.0158338033902253</v>
      </c>
      <c r="C22" s="53">
        <f>IFERROR(B22/B21-1,"")</f>
        <v/>
      </c>
      <c r="D22" s="46" t="n">
        <v>7550669.74948</v>
      </c>
      <c r="E22" s="47" t="n">
        <v>0.4496955742141414</v>
      </c>
      <c r="F22" s="48" t="n">
        <v>0.0001454166666666</v>
      </c>
      <c r="G22" s="48" t="n">
        <v>5e-05</v>
      </c>
      <c r="H22" s="48" t="n">
        <v>0.00048538</v>
      </c>
      <c r="I22" s="49" t="n">
        <v>6</v>
      </c>
      <c r="J22" s="28" t="inlineStr">
        <is>
          <t>FLOAT</t>
        </is>
      </c>
      <c r="L22" s="46" t="n">
        <v>4702280.4471575</v>
      </c>
      <c r="M22" s="54" t="n">
        <v>1.1632</v>
      </c>
      <c r="O22" s="51" t="n">
        <v>1.8937</v>
      </c>
      <c r="P22" s="51" t="n">
        <v>1.1349</v>
      </c>
      <c r="Q22" s="51" t="n">
        <v>1.0803</v>
      </c>
      <c r="R22" s="52">
        <f>IFERROR(O22/P22,"")</f>
        <v/>
      </c>
      <c r="S22" s="52">
        <f>IFERROR(AVERAGE(R20:R22),"")</f>
        <v/>
      </c>
      <c r="T22" s="52">
        <f>IFERROR(SLOPE(Q18:Q22,ROW(Q18:Q22)),"")</f>
        <v/>
      </c>
      <c r="U22" s="53">
        <f>IFERROR(O22/O19-1,"")</f>
        <v/>
      </c>
      <c r="V22" s="53">
        <f>IFERROR(P22/P19-1,"")</f>
        <v/>
      </c>
      <c r="AA22" s="50" t="n"/>
      <c r="AJ22" s="47">
        <f>IF(OR(AB22="",D22="",D22=0),"",AB22/D22)</f>
        <v/>
      </c>
    </row>
    <row r="23" ht="15" customHeight="1" s="29">
      <c r="A23" s="44" t="inlineStr">
        <is>
          <t>2026-07-21</t>
        </is>
      </c>
      <c r="B23" s="45" t="n">
        <v>0.0150939456764887</v>
      </c>
      <c r="C23" s="53">
        <f>IFERROR(B23/B22-1,"")</f>
        <v/>
      </c>
      <c r="D23" s="46" t="n">
        <v>1919723.54124</v>
      </c>
      <c r="E23" s="47" t="n">
        <v>0.4756811771186703</v>
      </c>
      <c r="F23" s="48" t="n">
        <v>5e-05</v>
      </c>
      <c r="G23" s="48" t="n">
        <v>5e-05</v>
      </c>
      <c r="H23" s="48" t="n">
        <v>5e-05</v>
      </c>
      <c r="I23" s="49" t="n">
        <v>6</v>
      </c>
      <c r="J23" s="28" t="inlineStr">
        <is>
          <t>PINNED</t>
        </is>
      </c>
      <c r="K23" s="28" t="n">
        <v>1</v>
      </c>
      <c r="L23" s="46" t="n">
        <v>3924816.43765718</v>
      </c>
      <c r="M23" s="54" t="n">
        <v>0.9709</v>
      </c>
      <c r="O23" s="51" t="n">
        <v>1.9359</v>
      </c>
      <c r="P23" s="51" t="n">
        <v>1.2272</v>
      </c>
      <c r="Q23" s="51" t="n">
        <v>1.1482</v>
      </c>
      <c r="R23" s="52">
        <f>IFERROR(O23/P23,"")</f>
        <v/>
      </c>
      <c r="S23" s="52">
        <f>IFERROR(AVERAGE(R21:R23),"")</f>
        <v/>
      </c>
      <c r="T23" s="52">
        <f>IFERROR(SLOPE(Q19:Q23,ROW(Q19:Q23)),"")</f>
        <v/>
      </c>
      <c r="U23" s="53">
        <f>IFERROR(O23/O20-1,"")</f>
        <v/>
      </c>
      <c r="V23" s="53">
        <f>IFERROR(P23/P20-1,"")</f>
        <v/>
      </c>
      <c r="AA23" s="50" t="n"/>
      <c r="AJ23" s="47">
        <f>IF(OR(AB23="",D23="",D23=0),"",AB23/D23)</f>
        <v/>
      </c>
    </row>
    <row r="24" ht="15" customHeight="1" s="29">
      <c r="A24" s="44" t="inlineStr">
        <is>
          <t>2026-07-22</t>
        </is>
      </c>
      <c r="B24" s="45" t="n">
        <v>0.015139866343385</v>
      </c>
      <c r="C24" s="53">
        <f>IFERROR(B24/B23-1,"")</f>
        <v/>
      </c>
      <c r="D24" s="46" t="n">
        <v>1713045.74842</v>
      </c>
      <c r="E24" s="47" t="n">
        <v>0.5459623019441526</v>
      </c>
      <c r="F24" s="48" t="n">
        <v>6.360166666666667e-05</v>
      </c>
      <c r="G24" s="48" t="n">
        <v>5e-05</v>
      </c>
      <c r="H24" s="48" t="n">
        <v>0.00013161</v>
      </c>
      <c r="I24" s="49" t="n">
        <v>6</v>
      </c>
      <c r="J24" s="28" t="inlineStr">
        <is>
          <t>FLOAT</t>
        </is>
      </c>
      <c r="L24" s="46" t="n">
        <v>3839507.25819608</v>
      </c>
      <c r="M24" s="54" t="n">
        <v>0.9498</v>
      </c>
      <c r="O24" s="51" t="n">
        <v>1.9084</v>
      </c>
      <c r="P24" s="51" t="n">
        <v>1.5846</v>
      </c>
      <c r="Q24" s="51" t="n">
        <v>1.4994</v>
      </c>
      <c r="R24" s="52">
        <f>IFERROR(O24/P24,"")</f>
        <v/>
      </c>
      <c r="S24" s="52">
        <f>IFERROR(AVERAGE(R22:R24),"")</f>
        <v/>
      </c>
      <c r="T24" s="52">
        <f>IFERROR(SLOPE(Q20:Q24,ROW(Q20:Q24)),"")</f>
        <v/>
      </c>
      <c r="U24" s="53">
        <f>IFERROR(O24/O21-1,"")</f>
        <v/>
      </c>
      <c r="V24" s="53">
        <f>IFERROR(P24/P21-1,"")</f>
        <v/>
      </c>
      <c r="AA24" s="50" t="n"/>
      <c r="AJ24" s="47">
        <f>IF(OR(AB24="",D24="",D24=0),"",AB24/D24)</f>
        <v/>
      </c>
    </row>
    <row r="25" ht="15" customHeight="1" s="29">
      <c r="A25" s="44" t="inlineStr">
        <is>
          <t>2026-07-23</t>
        </is>
      </c>
      <c r="B25" s="45" t="n">
        <v>0.0179970625217425</v>
      </c>
      <c r="C25" s="53">
        <f>IFERROR(B25/B24-1,"")</f>
        <v/>
      </c>
      <c r="D25" s="46" t="n">
        <v>167259563.39932</v>
      </c>
      <c r="E25" s="47" t="n">
        <v>0.4890935881891488</v>
      </c>
      <c r="F25" s="48" t="n">
        <v>0.0002468083333333</v>
      </c>
      <c r="G25" s="48" t="n">
        <v>5e-05</v>
      </c>
      <c r="H25" s="48" t="n">
        <v>0.00036813</v>
      </c>
      <c r="I25" s="49" t="n">
        <v>6</v>
      </c>
      <c r="J25" s="28" t="inlineStr">
        <is>
          <t>FLOAT</t>
        </is>
      </c>
      <c r="L25" s="46" t="n">
        <v>3946003.54422922</v>
      </c>
      <c r="M25" s="54" t="n">
        <v>0.9761</v>
      </c>
      <c r="O25" s="51" t="n">
        <v>1.9113</v>
      </c>
      <c r="P25" s="51" t="n">
        <v>1.7012</v>
      </c>
      <c r="Q25" s="51" t="n">
        <v>1.809</v>
      </c>
      <c r="R25" s="52">
        <f>IFERROR(O25/P25,"")</f>
        <v/>
      </c>
      <c r="S25" s="52">
        <f>IFERROR(AVERAGE(R23:R25),"")</f>
        <v/>
      </c>
      <c r="T25" s="52">
        <f>IFERROR(SLOPE(Q21:Q25,ROW(Q21:Q25)),"")</f>
        <v/>
      </c>
      <c r="U25" s="53">
        <f>IFERROR(O25/O22-1,"")</f>
        <v/>
      </c>
      <c r="V25" s="53">
        <f>IFERROR(P25/P22-1,"")</f>
        <v/>
      </c>
      <c r="AA25" s="50" t="n"/>
      <c r="AJ25" s="47">
        <f>IF(OR(AB25="",D25="",D25=0),"",AB25/D25)</f>
        <v/>
      </c>
    </row>
    <row r="26" ht="15" customHeight="1" s="29">
      <c r="A26" s="44" t="inlineStr">
        <is>
          <t>2026-07-27</t>
        </is>
      </c>
      <c r="B26" s="45" t="n">
        <v>0.0156768626998776</v>
      </c>
      <c r="C26" s="53">
        <f>IFERROR(B26/B25-1,"")</f>
        <v/>
      </c>
      <c r="D26" s="46" t="n">
        <v>16919045.11194</v>
      </c>
      <c r="E26" s="47" t="n">
        <v>0.4851199670476778</v>
      </c>
      <c r="F26" s="48" t="n">
        <v>0.0003430716666666</v>
      </c>
      <c r="G26" s="48" t="n">
        <v>5e-05</v>
      </c>
      <c r="H26" s="48" t="n">
        <v>0.00065669</v>
      </c>
      <c r="I26" s="49" t="n">
        <v>6</v>
      </c>
      <c r="J26" s="28" t="inlineStr">
        <is>
          <t>FLOAT</t>
        </is>
      </c>
      <c r="L26" s="46" t="n">
        <v>6602997.42389184</v>
      </c>
      <c r="M26" s="54" t="n">
        <v>1.6051</v>
      </c>
      <c r="O26" s="51" t="n">
        <v>2.0591</v>
      </c>
      <c r="P26" s="51" t="n">
        <v>1.3596</v>
      </c>
      <c r="Q26" s="51" t="n">
        <v>1.3691</v>
      </c>
      <c r="R26" s="52">
        <f>IFERROR(O26/P26,"")</f>
        <v/>
      </c>
      <c r="S26" s="52">
        <f>IFERROR(AVERAGE(R24:R26),"")</f>
        <v/>
      </c>
      <c r="T26" s="52">
        <f>IFERROR(SLOPE(Q22:Q26,ROW(Q22:Q26)),"")</f>
        <v/>
      </c>
      <c r="U26" s="53">
        <f>IFERROR(O26/O23-1,"")</f>
        <v/>
      </c>
      <c r="V26" s="53">
        <f>IFERROR(P26/P23-1,"")</f>
        <v/>
      </c>
      <c r="AA26" s="50" t="n"/>
      <c r="AJ26" s="47">
        <f>IF(OR(AB26="",D26="",D26=0),"",AB26/D26)</f>
        <v/>
      </c>
    </row>
    <row r="27" ht="15" customHeight="1" s="29">
      <c r="A27" s="44" t="inlineStr">
        <is>
          <t>2026-07-28</t>
        </is>
      </c>
      <c r="B27" s="45" t="n">
        <v>0.0168086900086867</v>
      </c>
      <c r="C27" s="53">
        <f>IFERROR(B27/B26-1,"")</f>
        <v/>
      </c>
      <c r="D27" s="46" t="n">
        <v>5930775.03944</v>
      </c>
      <c r="E27" s="47" t="n">
        <v>0.4801954465121114</v>
      </c>
      <c r="F27" s="48" t="n">
        <v>0.0001975616666666</v>
      </c>
      <c r="G27" s="48" t="n">
        <v>5.655e-05</v>
      </c>
      <c r="H27" s="48" t="n">
        <v>0.00035535</v>
      </c>
      <c r="I27" s="49" t="n">
        <v>6</v>
      </c>
      <c r="J27" s="28" t="n"/>
      <c r="L27" s="46" t="n">
        <v>10710505.52576626</v>
      </c>
      <c r="M27" s="54" t="n"/>
      <c r="O27" s="51" t="n">
        <v>2.2065</v>
      </c>
      <c r="P27" s="51" t="n">
        <v>0.992</v>
      </c>
      <c r="Q27" s="51" t="n">
        <v>1.0379</v>
      </c>
      <c r="R27" s="52">
        <f>IFERROR(O27/P27,"")</f>
        <v/>
      </c>
      <c r="S27" s="52">
        <f>IFERROR(AVERAGE(R25:R27),"")</f>
        <v/>
      </c>
      <c r="T27" s="52">
        <f>IFERROR(Q27/Q22,"")</f>
        <v/>
      </c>
      <c r="U27" s="53">
        <f>IFERROR(O27/O24-1,"")</f>
        <v/>
      </c>
      <c r="V27" s="53">
        <f>IFERROR(P27/P24-1,"")</f>
        <v/>
      </c>
      <c r="AA27" s="50" t="n"/>
      <c r="AJ27" s="47">
        <f>IF(OR(AB27="",D27="",D27=0),"",AB27/D27)</f>
        <v/>
      </c>
    </row>
    <row r="28" ht="15" customHeight="1" s="29">
      <c r="A28" s="44" t="inlineStr">
        <is>
          <t>2026-07-29</t>
        </is>
      </c>
      <c r="B28" s="45" t="n">
        <v>0.0156874869638988</v>
      </c>
      <c r="C28" s="53">
        <f>IFERROR(B28/B27-1,"")</f>
        <v/>
      </c>
      <c r="D28" s="46" t="n">
        <v>3001087.06951</v>
      </c>
      <c r="E28" s="47" t="n">
        <v>0.4725181981221648</v>
      </c>
      <c r="F28" s="48" t="n">
        <v>6.6775e-05</v>
      </c>
      <c r="G28" s="48" t="n">
        <v>5e-05</v>
      </c>
      <c r="H28" s="48" t="n">
        <v>0.00014646</v>
      </c>
      <c r="I28" s="49" t="n">
        <v>6</v>
      </c>
      <c r="J28" s="28" t="n"/>
      <c r="K28" s="28" t="n"/>
      <c r="L28" s="46" t="n">
        <v>9909666.0182763</v>
      </c>
      <c r="M28" s="54" t="n"/>
      <c r="O28" s="51" t="n">
        <v>2.3278</v>
      </c>
      <c r="P28" s="51" t="n">
        <v>1.1608</v>
      </c>
      <c r="Q28" s="51" t="n">
        <v>1.3895</v>
      </c>
      <c r="R28" s="52">
        <f>IFERROR(O28/P28,"")</f>
        <v/>
      </c>
      <c r="S28" s="52">
        <f>IFERROR(AVERAGE(R26:R28),"")</f>
        <v/>
      </c>
      <c r="T28" s="52">
        <f>IFERROR(Q28/Q23,"")</f>
        <v/>
      </c>
      <c r="U28" s="53">
        <f>IFERROR(O28/O25-1,"")</f>
        <v/>
      </c>
      <c r="V28" s="53">
        <f>IFERROR(P28/P25-1,"")</f>
        <v/>
      </c>
      <c r="AA28" s="50" t="n"/>
      <c r="AJ28" s="47">
        <f>IF(OR(AB28="",D28="",D28=0),"",AB28/D28)</f>
        <v/>
      </c>
    </row>
    <row r="29" ht="15" customHeight="1" s="29">
      <c r="A29" s="44" t="inlineStr">
        <is>
          <t>2026-07-30</t>
        </is>
      </c>
      <c r="B29" s="45" t="n">
        <v>0.0152342446246339</v>
      </c>
      <c r="C29" s="53">
        <f>IFERROR(B29/B28-1,"")</f>
        <v/>
      </c>
      <c r="D29" s="46" t="n">
        <v>2995738.46077</v>
      </c>
      <c r="E29" s="47" t="n">
        <v>0.5284798189362505</v>
      </c>
      <c r="F29" s="48" t="n">
        <v>9.596166666666668e-05</v>
      </c>
      <c r="G29" s="48" t="n">
        <v>5e-05</v>
      </c>
      <c r="H29" s="48" t="n">
        <v>0.00020606</v>
      </c>
      <c r="I29" s="49" t="n">
        <v>6</v>
      </c>
      <c r="J29" s="28" t="n"/>
      <c r="L29" s="46" t="n">
        <v>8867578.2372005</v>
      </c>
      <c r="M29" s="54" t="n"/>
      <c r="O29" s="51" t="n">
        <v>2.5585</v>
      </c>
      <c r="P29" s="51" t="n">
        <v>1.209</v>
      </c>
      <c r="Q29" s="51" t="n">
        <v>1.4594</v>
      </c>
      <c r="R29" s="52">
        <f>IFERROR(O29/P29,"")</f>
        <v/>
      </c>
      <c r="S29" s="52">
        <f>IFERROR(AVERAGE(R27:R29),"")</f>
        <v/>
      </c>
      <c r="T29" s="52">
        <f>IFERROR(Q29/Q24,"")</f>
        <v/>
      </c>
      <c r="U29" s="53">
        <f>IFERROR(O29/O26-1,"")</f>
        <v/>
      </c>
      <c r="V29" s="53">
        <f>IFERROR(P29/P26-1,"")</f>
        <v/>
      </c>
      <c r="AA29" s="50" t="n"/>
      <c r="AJ29" s="47">
        <f>IF(OR(AB29="",D29="",D29=0),"",AB29/D29)</f>
        <v/>
      </c>
      <c r="AL29" s="50" t="n"/>
      <c r="AN29" s="50" t="n"/>
    </row>
    <row r="30" ht="15" customHeight="1" s="29">
      <c r="A30" s="44" t="inlineStr">
        <is>
          <t>2026-07-31</t>
        </is>
      </c>
      <c r="B30" s="45" t="n">
        <v>0.01640271991529722</v>
      </c>
      <c r="C30" s="53">
        <f>IFERROR(B30/B29-1,"")</f>
        <v/>
      </c>
      <c r="D30" s="46" t="n">
        <v>7335938.84066</v>
      </c>
      <c r="E30" s="47" t="n">
        <v>0.4987468671679198</v>
      </c>
      <c r="F30" s="48" t="n">
        <v>0.00031801</v>
      </c>
      <c r="G30" s="48" t="n">
        <v>5e-05</v>
      </c>
      <c r="H30" s="48" t="n">
        <v>0.00080377</v>
      </c>
      <c r="I30" s="49" t="n">
        <v>6</v>
      </c>
      <c r="J30" s="28" t="n"/>
      <c r="L30" s="46" t="n">
        <v>8805698.412641199</v>
      </c>
      <c r="M30" s="54" t="n"/>
      <c r="O30" s="51" t="n">
        <v>2.5455</v>
      </c>
      <c r="P30" s="51" t="n">
        <v>1.2396</v>
      </c>
      <c r="Q30" s="51" t="n">
        <v>1.5575</v>
      </c>
      <c r="R30" s="52">
        <f>IFERROR(O30/P30,"")</f>
        <v/>
      </c>
      <c r="S30" s="52">
        <f>IFERROR(AVERAGE(R28:R30),"")</f>
        <v/>
      </c>
      <c r="T30" s="52">
        <f>IFERROR(Q30/Q25,"")</f>
        <v/>
      </c>
      <c r="U30" s="53">
        <f>IFERROR(O30/O27-1,"")</f>
        <v/>
      </c>
      <c r="V30" s="53">
        <f>IFERROR(P30/P27-1,"")</f>
        <v/>
      </c>
      <c r="W30" s="50" t="n"/>
      <c r="AA30" s="50" t="n"/>
      <c r="AB30" s="46" t="n"/>
      <c r="AC30" s="28" t="n"/>
      <c r="AD30" s="46" t="n"/>
      <c r="AE30" s="46" t="n"/>
      <c r="AJ30" s="47">
        <f>IF(OR(AB30="",D30="",D30=0),"",AB30/D30)</f>
        <v/>
      </c>
    </row>
    <row r="31">
      <c r="A31" s="28" t="inlineStr">
        <is>
          <t>2026-08-01</t>
        </is>
      </c>
      <c r="B31" s="28" t="n">
        <v>0.0239455254881411</v>
      </c>
      <c r="C31" s="28">
        <f>IFERROR(B31/B30-1,"")</f>
        <v/>
      </c>
      <c r="D31" s="28" t="n">
        <v>175671534.50156</v>
      </c>
      <c r="E31" s="28" t="n">
        <v>0.5152925209635985</v>
      </c>
      <c r="F31" s="28" t="n">
        <v>9.492333333333332e-05</v>
      </c>
      <c r="G31" s="28" t="n">
        <v>-0.00070055</v>
      </c>
      <c r="H31" s="28" t="n">
        <v>0.00066625</v>
      </c>
      <c r="I31" s="28" t="n">
        <v>6</v>
      </c>
      <c r="J31" s="28" t="inlineStr">
        <is>
          <t>FLOAT</t>
        </is>
      </c>
      <c r="L31" s="28" t="n">
        <v>9844799.294609999</v>
      </c>
      <c r="M31" s="28" t="n">
        <v>1.4493</v>
      </c>
      <c r="N31" s="28" t="n"/>
      <c r="O31" s="28" t="n">
        <v>2.5241</v>
      </c>
      <c r="P31" s="28" t="n">
        <v>1.1825</v>
      </c>
      <c r="Q31" s="28" t="n">
        <v>1.4888</v>
      </c>
      <c r="R31" s="28">
        <f>IFERROR(O31/P31,"")</f>
        <v/>
      </c>
      <c r="S31" s="28">
        <f>IFERROR(AVERAGE(R29:R31),"")</f>
        <v/>
      </c>
      <c r="T31" s="28">
        <f>IFERROR(SLOPE(Q27:Q31,ROW(Q27:Q31)),"")</f>
        <v/>
      </c>
      <c r="U31" s="28">
        <f>IFERROR(O31/O28-1,"")</f>
        <v/>
      </c>
      <c r="V31" s="28">
        <f>IFERROR(P31/P28-1,"")</f>
        <v/>
      </c>
      <c r="Z31" s="28" t="n"/>
      <c r="AA31" s="28" t="inlineStr">
        <is>
          <t>Gate</t>
        </is>
      </c>
      <c r="AB31" s="28" t="n">
        <v>9577588</v>
      </c>
      <c r="AC31" s="28" t="n"/>
      <c r="AJ31" s="28">
        <f>IF(OR(AB31="",D31="",D31=0),"",AB31/D31)</f>
        <v/>
      </c>
      <c r="AN31" s="28" t="n"/>
    </row>
    <row r="32" ht="15" customHeight="1" s="29">
      <c r="A32" s="36" t="inlineStr">
        <is>
          <t>2026-08-02</t>
        </is>
      </c>
      <c r="B32" s="28" t="n">
        <v>0.02311694285969805</v>
      </c>
      <c r="C32" s="28">
        <f>IFERROR(B32/B31-1,"")</f>
        <v/>
      </c>
      <c r="D32" s="28" t="n">
        <v>40715280.86713</v>
      </c>
      <c r="E32" s="28" t="n">
        <v>0.500848557452331</v>
      </c>
      <c r="F32" s="28" t="n">
        <v>5e-05</v>
      </c>
      <c r="G32" s="28" t="n">
        <v>5e-05</v>
      </c>
      <c r="H32" s="28" t="n">
        <v>5e-05</v>
      </c>
      <c r="I32" s="28" t="n">
        <v>6</v>
      </c>
      <c r="J32" s="28" t="inlineStr">
        <is>
          <t>PINNED</t>
        </is>
      </c>
      <c r="K32" s="28" t="n">
        <v>1</v>
      </c>
      <c r="L32" s="28" t="n">
        <v>10483341.9772</v>
      </c>
      <c r="M32" s="28" t="n">
        <v>1.4806</v>
      </c>
      <c r="O32" s="28" t="n">
        <v>1.7314</v>
      </c>
      <c r="P32" s="28" t="n">
        <v>1.1782</v>
      </c>
      <c r="Q32" s="28" t="n">
        <v>1.1436</v>
      </c>
      <c r="R32" s="28">
        <f>IFERROR(O32/P32,"")</f>
        <v/>
      </c>
      <c r="S32" s="28">
        <f>IFERROR(AVERAGE(R30:R32),"")</f>
        <v/>
      </c>
      <c r="T32" s="28">
        <f>IFERROR(SLOPE(Q28:Q32,ROW(Q28:Q32)),"")</f>
        <v/>
      </c>
      <c r="U32" s="28">
        <f>IFERROR(O32/O29-1,"")</f>
        <v/>
      </c>
      <c r="V32" s="28">
        <f>IFERROR(P32/P29-1,"")</f>
        <v/>
      </c>
      <c r="AA32" s="28" t="inlineStr">
        <is>
          <t>Gate</t>
        </is>
      </c>
      <c r="AB32" s="28" t="n">
        <v>1547487</v>
      </c>
      <c r="AC32" s="28" t="n"/>
      <c r="AJ32" s="28">
        <f>IF(OR(AB32="",D32="",D32=0),"",AB32/D32)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8" min="1" max="1"/>
    <col width="60" customWidth="1" style="28" min="2" max="2"/>
    <col width="18" customWidth="1" style="28" min="3" max="3"/>
    <col width="45" customWidth="1" style="28" min="4" max="4"/>
  </cols>
  <sheetData>
    <row r="1" ht="16.15" customHeight="1" s="29">
      <c r="A1" s="30" t="inlineStr">
        <is>
          <t>D. NHAT KY DIEN BIEN (append-only, moi nhat duoi cung)</t>
        </is>
      </c>
    </row>
    <row r="3" ht="15" customHeight="1" s="29">
      <c r="A3" s="55" t="inlineStr">
        <is>
          <t>ngay</t>
        </is>
      </c>
      <c r="B3" s="55" t="inlineStr">
        <is>
          <t>su_kien_so_lieu</t>
        </is>
      </c>
      <c r="C3" s="55" t="inlineStr">
        <is>
          <t>nguon</t>
        </is>
      </c>
      <c r="D3" s="55" t="inlineStr">
        <is>
          <t>doc_nhanh</t>
        </is>
      </c>
    </row>
    <row r="4" ht="15" customHeight="1" s="29">
      <c r="A4" s="33" t="inlineStr">
        <is>
          <t>~07-27→08-01</t>
        </is>
      </c>
      <c r="B4" s="33" t="inlineStr">
        <is>
          <t>13 vi nhan ~273M IDOL (~5.7% supply) tu Binance. 7 vi x20M chia may (Sent=0, hold). 58bro nhan 51.36M, sent 27.06M (trung chuyen — dich PENDING). Ngay chinh xac PENDING. PUMP_STAGING?/RELOCATION? — CHUA GAN, can infra_gate label-check truoc (&gt;=2% supply, an TAG/Bitget)</t>
        </is>
      </c>
      <c r="C4" s="33" t="inlineStr">
        <is>
          <t>Nansen UI (so hua, chua co txhash)</t>
        </is>
      </c>
      <c r="D4" s="33" t="inlineStr">
        <is>
          <t>PENDING-VERIFY: txhash + ngay chinh xac + dich 58bro + label-check</t>
        </is>
      </c>
    </row>
    <row r="5" ht="15" customHeight="1" s="29">
      <c r="A5" s="33" t="inlineStr">
        <is>
          <t>2026-08-02</t>
        </is>
      </c>
      <c r="B5" s="33" t="inlineStr">
        <is>
          <t>Gate wallet 0x0d0707 +54.76M IDOL (~1.14% supply) trong 1d; +148.29M trong 30d. Huong: DEPOSIT vao Gate. Y dinh: PENDING — can ma tran BTW-vs-IDOL + vi tri chu ky tu B5</t>
        </is>
      </c>
      <c r="C5" s="33" t="inlineStr">
        <is>
          <t>Nansen UI (so hua, chua co txhash)</t>
        </is>
      </c>
      <c r="D5" s="33" t="inlineStr">
        <is>
          <t>PENDING-VERIFY: txhash + ma tran BTW-vs-IDOL (B5 chu ky MARKUP da xac nhan?)</t>
        </is>
      </c>
    </row>
    <row r="6" ht="15" customHeight="1" s="29">
      <c r="A6" s="33" t="n"/>
      <c r="B6" s="33" t="n"/>
      <c r="C6" s="33" t="n"/>
      <c r="D6" s="33" t="n"/>
    </row>
    <row r="7" ht="15" customHeight="1" s="29">
      <c r="A7" s="33" t="n"/>
      <c r="B7" s="33" t="n"/>
      <c r="C7" s="33" t="n"/>
      <c r="D7" s="33" t="n"/>
    </row>
    <row r="8" ht="15" customHeight="1" s="29">
      <c r="A8" s="33" t="n"/>
      <c r="B8" s="33" t="n"/>
      <c r="C8" s="33" t="n"/>
      <c r="D8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8" min="1" max="1"/>
    <col width="22" customWidth="1" style="28" min="2" max="2"/>
    <col width="44" customWidth="1" style="28" min="3" max="3"/>
    <col width="40" customWidth="1" style="28" min="4" max="4"/>
    <col width="22" customWidth="1" style="28" min="5" max="5"/>
  </cols>
  <sheetData>
    <row r="1" ht="16.15" customHeight="1" s="29">
      <c r="A1" s="30" t="inlineStr">
        <is>
          <t>C. CHOT THEO DOI — doc moi ngay sau nen dong</t>
        </is>
      </c>
    </row>
    <row r="3" ht="15" customHeight="1" s="29">
      <c r="A3" s="55" t="inlineStr">
        <is>
          <t>#</t>
        </is>
      </c>
      <c r="B3" s="55" t="inlineStr">
        <is>
          <t>chot</t>
        </is>
      </c>
      <c r="C3" s="55" t="inlineStr">
        <is>
          <t>dieu_kien</t>
        </is>
      </c>
      <c r="D3" s="55" t="inlineStr">
        <is>
          <t>nghia_khi_bat</t>
        </is>
      </c>
      <c r="E3" s="55" t="inlineStr">
        <is>
          <t>trang_thai_hom_nay</t>
        </is>
      </c>
    </row>
    <row r="4" ht="15" customHeight="1" s="29">
      <c r="A4" s="33" t="n"/>
      <c r="B4" s="33" t="n"/>
      <c r="C4" s="33" t="n"/>
      <c r="D4" s="33" t="n"/>
      <c r="E4" s="34" t="n"/>
    </row>
    <row r="5" ht="15" customHeight="1" s="29">
      <c r="A5" s="33" t="n"/>
      <c r="B5" s="33" t="n"/>
      <c r="C5" s="33" t="n"/>
      <c r="D5" s="33" t="n"/>
      <c r="E5" s="34" t="n"/>
    </row>
    <row r="6" ht="15" customHeight="1" s="29">
      <c r="A6" s="33" t="n"/>
      <c r="B6" s="33" t="n"/>
      <c r="C6" s="33" t="n"/>
      <c r="D6" s="33" t="n"/>
      <c r="E6" s="34" t="n"/>
    </row>
    <row r="7" ht="15" customHeight="1" s="29">
      <c r="A7" s="33" t="n"/>
      <c r="B7" s="33" t="n"/>
      <c r="C7" s="33" t="n"/>
      <c r="D7" s="33" t="n"/>
      <c r="E7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8" min="1" max="1"/>
    <col width="11" customWidth="1" style="28" min="2" max="2"/>
    <col width="12" customWidth="1" style="28" min="3" max="3"/>
    <col width="9" customWidth="1" style="28" min="4" max="4"/>
    <col width="16" customWidth="1" style="28" min="5" max="5"/>
    <col width="13" customWidth="1" style="28" min="6" max="6"/>
    <col width="9" customWidth="1" style="28" min="7" max="7"/>
    <col width="42" customWidth="1" style="28" min="8" max="9"/>
  </cols>
  <sheetData>
    <row r="1" ht="16.15" customHeight="1" s="29">
      <c r="A1" s="30" t="inlineStr">
        <is>
          <t>E. OUTCOME — dien tai moc; verdict_check: verdict luc mo DUNG/SAI o diem nao</t>
        </is>
      </c>
    </row>
    <row r="3" ht="15" customHeight="1" s="29">
      <c r="A3" s="55" t="n"/>
      <c r="B3" s="55" t="n"/>
      <c r="C3" s="55" t="n"/>
      <c r="D3" s="55" t="n"/>
      <c r="E3" s="55" t="n"/>
      <c r="F3" s="55" t="n"/>
      <c r="G3" s="55" t="n"/>
      <c r="H3" s="55" t="n"/>
      <c r="I3" s="55" t="n"/>
    </row>
    <row r="4" ht="15" customHeight="1" s="29">
      <c r="A4" s="33" t="n"/>
      <c r="B4" s="33" t="n"/>
      <c r="C4" s="34" t="n"/>
      <c r="D4" s="34" t="n"/>
      <c r="E4" s="34" t="n"/>
      <c r="F4" s="34" t="n"/>
      <c r="G4" s="34" t="n"/>
      <c r="H4" s="34" t="n"/>
      <c r="I4" s="34" t="n"/>
    </row>
    <row r="5" ht="15" customHeight="1" s="29">
      <c r="A5" s="33" t="n"/>
      <c r="B5" s="33" t="n"/>
      <c r="C5" s="34" t="n"/>
      <c r="D5" s="34" t="n"/>
      <c r="E5" s="34" t="n"/>
      <c r="F5" s="34" t="n"/>
      <c r="G5" s="34" t="n"/>
      <c r="H5" s="34" t="n"/>
      <c r="I5" s="34" t="n"/>
    </row>
    <row r="6" ht="15" customHeight="1" s="29">
      <c r="A6" s="33" t="n"/>
      <c r="B6" s="33" t="n"/>
      <c r="C6" s="34" t="n"/>
      <c r="D6" s="34" t="n"/>
      <c r="E6" s="34" t="n"/>
      <c r="F6" s="34" t="n"/>
      <c r="G6" s="34" t="n"/>
      <c r="H6" s="34" t="n"/>
      <c r="I6" s="34" t="n"/>
    </row>
    <row r="7" ht="15" customHeight="1" s="29">
      <c r="A7" s="33" t="n"/>
      <c r="B7" s="33" t="n"/>
      <c r="C7" s="34" t="n"/>
      <c r="D7" s="34" t="n"/>
      <c r="E7" s="34" t="n"/>
      <c r="F7" s="34" t="n"/>
      <c r="G7" s="34" t="n"/>
      <c r="H7" s="34" t="n"/>
      <c r="I7" s="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I. MM / OPERATOR PROFILE — van tay hanh vi (moi MM danh mot kieu)</t>
        </is>
      </c>
    </row>
    <row r="3" ht="15" customHeight="1" s="29">
      <c r="A3" s="32" t="inlineStr">
        <is>
          <t>MM cong bo / nghi van</t>
        </is>
      </c>
      <c r="B3" s="33" t="inlineStr">
        <is>
          <t>unknown — chua co ho so listing chinh thuc; can tra (PENDING)</t>
        </is>
      </c>
    </row>
    <row r="4" ht="15" customHeight="1" s="29">
      <c r="A4" s="32" t="inlineStr">
        <is>
          <t>MM_ID</t>
        </is>
      </c>
      <c r="B4" s="33" t="inlineStr">
        <is>
          <t>unknown-IDOL (chua du 3 van tay de gan; nghi khuon AKE/bid-walk theo hanh vi staging that)</t>
        </is>
      </c>
    </row>
    <row r="5" ht="15" customHeight="1" s="29">
      <c r="A5" s="32" t="inlineStr">
        <is>
          <t>Van tay funding</t>
        </is>
      </c>
      <c r="B5" s="33" t="inlineStr">
        <is>
          <t>PENDING — fn=1 chua co du lieu sach 28-31/07; can serie sach sau ignition</t>
        </is>
      </c>
    </row>
    <row r="6" ht="15" customHeight="1" s="29">
      <c r="A6" s="32" t="inlineStr">
        <is>
          <t>Van tay markup</t>
        </is>
      </c>
      <c r="B6" s="33" t="inlineStr">
        <is>
          <t>PENDING — 3 van tay cho chot (bid-walk? bait-probe? staging-that?)</t>
        </is>
      </c>
    </row>
    <row r="7" ht="15" customHeight="1" s="29">
      <c r="A7" s="32" t="inlineStr">
        <is>
          <t>Ky thuat quan crowd</t>
        </is>
      </c>
      <c r="B7" s="33" t="inlineStr">
        <is>
          <t>PENDING — 07-23 vol spike 167M (8x nen) nghi bait-probe; can vol_persistence T+1 xac nhan</t>
        </is>
      </c>
    </row>
    <row r="8" ht="15" customHeight="1" s="29">
      <c r="A8" s="32" t="inlineStr">
        <is>
          <t>Ky thuat moi on-chain</t>
        </is>
      </c>
      <c r="B8" s="33" t="inlineStr">
        <is>
          <t>staging that (7 vi x20M hold, Sent=0) — GIONG BANK; nghi MM-BIDWALK-A khuon</t>
        </is>
      </c>
    </row>
    <row r="9" ht="15" customHeight="1" s="29">
      <c r="A9" s="32" t="inlineStr">
        <is>
          <t>Venue</t>
        </is>
      </c>
      <c r="B9" s="33" t="inlineStr">
        <is>
          <t>Binance perp (chinh, OI uu the); Gate spot (bai do / deposit point)</t>
        </is>
      </c>
    </row>
    <row r="10" ht="15" customHeight="1" s="29">
      <c r="A10" s="32" t="inlineStr">
        <is>
          <t>Cross-campaign</t>
        </is>
      </c>
      <c r="B10" s="34" t="inlineStr">
        <is>
          <t>PENDING — ma tran BTW-vs-IDOL (Gate wallet 0x0d0707 co lien he BTW khong?)</t>
        </is>
      </c>
    </row>
    <row r="11" ht="15" customHeight="1" s="29">
      <c r="A11" s="32" t="inlineStr">
        <is>
          <t>Ung xu voi minh</t>
        </is>
      </c>
      <c r="B11" s="34" t="inlineStr">
        <is>
          <t>PENDING — theo doi sau khi infra_gate label-check xong</t>
        </is>
      </c>
    </row>
    <row r="12">
      <c r="A12" s="28" t="n"/>
    </row>
    <row r="13">
      <c r="A13" s="28" t="n"/>
    </row>
    <row r="14">
      <c r="A14" s="2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8" min="1" max="1"/>
    <col width="95" customWidth="1" style="28" min="2" max="2"/>
  </cols>
  <sheetData>
    <row r="1" ht="16.15" customHeight="1" s="29">
      <c r="A1" s="30" t="inlineStr">
        <is>
          <t>J. TOKENOMICS / UNLOCK — dong cung co lich, MM danh quanh no</t>
        </is>
      </c>
    </row>
    <row r="3" ht="15" customHeight="1" s="29">
      <c r="A3" s="32" t="inlineStr">
        <is>
          <t>Circulating / Total (uoc tinh)</t>
        </is>
      </c>
      <c r="B3" s="34" t="inlineStr">
        <is>
          <t>~4.79B IDOL (uoc tinh tu E1: 273M=5.7% supply); chinh xac PENDING</t>
        </is>
      </c>
    </row>
    <row r="4" ht="15" customHeight="1" s="29">
      <c r="A4" s="32" t="inlineStr">
        <is>
          <t>Nguon tra</t>
        </is>
      </c>
      <c r="B4" s="34" t="inlineStr">
        <is>
          <t>Tokenomist, CryptoRank, project docs — da thu khong co ket qua (NO_DATA 2026-08-03)</t>
        </is>
      </c>
    </row>
    <row r="5" ht="15" customHeight="1" s="29">
      <c r="A5" s="32" t="inlineStr">
        <is>
          <t>Unlock KE TIEP</t>
        </is>
      </c>
      <c r="B5" s="34" t="inlineStr">
        <is>
          <t>NO_DATA — khong tim thay lich unlock tu nguon free</t>
        </is>
      </c>
    </row>
    <row r="6" ht="15" customHeight="1" s="29">
      <c r="A6" s="32" t="inlineStr">
        <is>
          <t>Unlock 90 ngay toi</t>
        </is>
      </c>
      <c r="B6" s="34" t="inlineStr">
        <is>
          <t>NO_DATA</t>
        </is>
      </c>
    </row>
    <row r="7" ht="15" customHeight="1" s="29">
      <c r="A7" s="32" t="inlineStr">
        <is>
          <t>Cliff da qua gan nhat</t>
        </is>
      </c>
      <c r="B7" s="34" t="inlineStr">
        <is>
          <t>NO_DATA</t>
        </is>
      </c>
    </row>
    <row r="8" ht="15" customHeight="1" s="29">
      <c r="A8" s="32" t="inlineStr">
        <is>
          <t>Doc</t>
        </is>
      </c>
      <c r="B8" s="33" t="inlineStr">
        <is>
          <t>L-12: can unlock de biet moc deadline MM (keo truoc/de truoc unlock). Operator: tra Tokenomist.io + CryptoRank + docs du an. Neu co unlock lon 30-60d toi -&gt; kich ban keo-truoc-unlock vao EVENTS.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2026-08-03T02:47:44Z</dcterms:modified>
  <cp:revision>0</cp:revision>
</cp:coreProperties>
</file>