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AC31" authorId="1" shapeId="0">
      <text>
        <t>CẤM — L-29: taker_spot Gate chưa verify; để trống, không dùng làm bằng chứng</t>
      </text>
    </comment>
    <comment ref="AC32" authorId="1" shapeId="0">
      <text>
        <t>CẤM — L-29: taker_spot Gate chưa verify; để trống, không dùng làm bằng chứng</t>
      </text>
    </comment>
  </commentList>
</comments>
</file>

<file path=xl/comments/comment2.xml><?xml version="1.0" encoding="utf-8"?>
<comments xmlns="http://schemas.openxmlformats.org/spreadsheetml/2006/main">
  <authors>
    <author>agent</author>
  </authors>
  <commentList>
    <comment ref="A4" authorId="0" shapeId="0">
      <text>
        <t>So intraday/khong-ro-boundary: chi song EVENTS, khong vao DAILY (L-21/L-25)</t>
      </text>
    </comment>
    <comment ref="A5" authorId="0" shapeId="0">
      <text>
        <t>Can CAN OPERATOR: txhash E1+E2, dich 58bro, Nansen label-check infra_gate</t>
      </text>
    </comment>
  </commentList>
</comments>
</file>

<file path=xl/comments/comment3.xml><?xml version="1.0" encoding="utf-8"?>
<comments xmlns="http://schemas.openxmlformats.org/spreadsheetml/2006/main">
  <authors>
    <author>agent</author>
  </authors>
  <commentList>
    <comment ref="A12" authorId="0" shapeId="0">
      <text>
        <t>Van tay 1 (PENDING chot)</t>
      </text>
    </comment>
    <comment ref="A13" authorId="0" shapeId="0">
      <text>
        <t>Van tay 2 (PENDING chot)</t>
      </text>
    </comment>
    <comment ref="A14" authorId="0" shapeId="0">
      <text>
        <t>Van tay 3 (PENDING chot)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IDOL</t>
        </is>
      </c>
    </row>
    <row r="2" ht="15" customHeight="1" s="29">
      <c r="A2" s="28" t="inlineStr">
        <is>
          <t>LEGEND</t>
        </is>
      </c>
      <c r="B2" s="28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0.0186562358117994</v>
      </c>
      <c r="D3" s="46" t="n">
        <v>16584068.48426</v>
      </c>
      <c r="E3" s="47" t="n">
        <v>0.4780007889437288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K3" s="28" t="n">
        <v>1</v>
      </c>
      <c r="L3" s="46" t="n">
        <v>3099014.82334011</v>
      </c>
      <c r="O3" s="51" t="n">
        <v>1.2677</v>
      </c>
      <c r="P3" s="51" t="n">
        <v>1.7941</v>
      </c>
      <c r="Q3" s="51" t="n">
        <v>1.8563</v>
      </c>
      <c r="R3" s="52">
        <f>IFERROR(O3/P3,"")</f>
        <v/>
      </c>
      <c r="S3" s="28">
        <f>IFERROR(AVERAGE(R1:R3),"")</f>
        <v/>
      </c>
      <c r="T3" s="28">
        <f>IFERROR(SLOPE(Q3:Q3,ROW(Q3:Q3)),"")</f>
        <v/>
      </c>
      <c r="AA3" s="50" t="n"/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0.0155407362488524</v>
      </c>
      <c r="C4" s="53">
        <f>IFERROR(B4/B3-1,"")</f>
        <v/>
      </c>
      <c r="D4" s="46" t="n">
        <v>16258105.08826</v>
      </c>
      <c r="E4" s="47" t="n">
        <v>0.4760134092685071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K4" s="28" t="n">
        <v>2</v>
      </c>
      <c r="L4" s="46" t="n">
        <v>2894341.86324902</v>
      </c>
      <c r="M4" s="28" t="n">
        <v>0.9659</v>
      </c>
      <c r="O4" s="51" t="n">
        <v>1.2383</v>
      </c>
      <c r="P4" s="51" t="n">
        <v>1.6874</v>
      </c>
      <c r="Q4" s="51" t="n">
        <v>1.5491</v>
      </c>
      <c r="R4" s="52">
        <f>IFERROR(O4/P4,"")</f>
        <v/>
      </c>
      <c r="S4" s="28">
        <f>IFERROR(AVERAGE(R2:R4),"")</f>
        <v/>
      </c>
      <c r="T4" s="28">
        <f>IFERROR(SLOPE(Q3:Q4,ROW(Q3:Q4)),"")</f>
        <v/>
      </c>
      <c r="AA4" s="50" t="n"/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0.0154007227098661</v>
      </c>
      <c r="C5" s="53">
        <f>IFERROR(B5/B4-1,"")</f>
        <v/>
      </c>
      <c r="D5" s="46" t="n">
        <v>15289807.35174</v>
      </c>
      <c r="E5" s="47" t="n">
        <v>0.4987639777670687</v>
      </c>
      <c r="F5" s="48" t="n">
        <v>0.000333755</v>
      </c>
      <c r="G5" s="48" t="n">
        <v>5e-05</v>
      </c>
      <c r="H5" s="48" t="n">
        <v>0.00175253</v>
      </c>
      <c r="I5" s="49" t="n">
        <v>6</v>
      </c>
      <c r="J5" s="50" t="inlineStr">
        <is>
          <t>FLOAT</t>
        </is>
      </c>
      <c r="L5" s="46" t="n">
        <v>3288740.32126068</v>
      </c>
      <c r="M5" s="28" t="n">
        <v>1.0612</v>
      </c>
      <c r="O5" s="51" t="n">
        <v>1.2157</v>
      </c>
      <c r="P5" s="51" t="n">
        <v>1.3031</v>
      </c>
      <c r="Q5" s="51" t="n">
        <v>1.1839</v>
      </c>
      <c r="R5" s="52">
        <f>IFERROR(O5/P5,"")</f>
        <v/>
      </c>
      <c r="S5" s="52">
        <f>IFERROR(AVERAGE(R3:R5),"")</f>
        <v/>
      </c>
      <c r="T5" s="28">
        <f>IFERROR(SLOPE(Q3:Q5,ROW(Q3:Q5)),"")</f>
        <v/>
      </c>
      <c r="AA5" s="50" t="n"/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0.0151692526652024</v>
      </c>
      <c r="C6" s="53">
        <f>IFERROR(B6/B5-1,"")</f>
        <v/>
      </c>
      <c r="D6" s="46" t="n">
        <v>9154051.07804</v>
      </c>
      <c r="E6" s="47" t="n">
        <v>0.4793609303403439</v>
      </c>
      <c r="F6" s="48" t="n">
        <v>0.0001978166666666</v>
      </c>
      <c r="G6" s="48" t="n">
        <v>5e-05</v>
      </c>
      <c r="H6" s="48" t="n">
        <v>0.00062215</v>
      </c>
      <c r="I6" s="49" t="n">
        <v>6</v>
      </c>
      <c r="J6" s="50" t="inlineStr">
        <is>
          <t>FLOAT</t>
        </is>
      </c>
      <c r="L6" s="46" t="n">
        <v>3368438.685</v>
      </c>
      <c r="M6" s="28" t="n">
        <v>1.0547</v>
      </c>
      <c r="O6" s="51" t="n">
        <v>1.6161</v>
      </c>
      <c r="P6" s="51" t="n">
        <v>0.9992</v>
      </c>
      <c r="Q6" s="51" t="n">
        <v>0.9212</v>
      </c>
      <c r="R6" s="52">
        <f>IFERROR(O6/P6,"")</f>
        <v/>
      </c>
      <c r="S6" s="52">
        <f>IFERROR(AVERAGE(R4:R6),"")</f>
        <v/>
      </c>
      <c r="T6" s="28">
        <f>IFERROR(SLOPE(Q3:Q6,ROW(Q3:Q6)),"")</f>
        <v/>
      </c>
      <c r="U6" s="53">
        <f>IFERROR(O6/O3-1,"")</f>
        <v/>
      </c>
      <c r="V6" s="53">
        <f>IFERROR(P6/P3-1,"")</f>
        <v/>
      </c>
      <c r="AA6" s="50" t="n"/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0.0151713984335179</v>
      </c>
      <c r="C7" s="53">
        <f>IFERROR(B7/B6-1,"")</f>
        <v/>
      </c>
      <c r="D7" s="46" t="n">
        <v>8775938.510639999</v>
      </c>
      <c r="E7" s="47" t="n">
        <v>0.4869234392252542</v>
      </c>
      <c r="F7" s="48" t="n">
        <v>0.0001027616666666</v>
      </c>
      <c r="G7" s="48" t="n">
        <v>5e-05</v>
      </c>
      <c r="H7" s="48" t="n">
        <v>0.00026516</v>
      </c>
      <c r="I7" s="49" t="n">
        <v>6</v>
      </c>
      <c r="J7" s="50" t="inlineStr">
        <is>
          <t>FLOAT</t>
        </is>
      </c>
      <c r="L7" s="46" t="n">
        <v>3822812.78385291</v>
      </c>
      <c r="M7" s="28" t="n">
        <v>1.1624</v>
      </c>
      <c r="O7" s="51" t="n">
        <v>1.6555</v>
      </c>
      <c r="P7" s="51" t="n">
        <v>1.0342</v>
      </c>
      <c r="Q7" s="51" t="n">
        <v>0.9697</v>
      </c>
      <c r="R7" s="52">
        <f>IFERROR(O7/P7,"")</f>
        <v/>
      </c>
      <c r="S7" s="52">
        <f>IFERROR(AVERAGE(R5:R7),"")</f>
        <v/>
      </c>
      <c r="T7" s="28">
        <f>IFERROR(SLOPE(Q3:Q7,ROW(Q3:Q7)),"")</f>
        <v/>
      </c>
      <c r="U7" s="53">
        <f>IFERROR(O7/O4-1,"")</f>
        <v/>
      </c>
      <c r="V7" s="53">
        <f>IFERROR(P7/P4-1,"")</f>
        <v/>
      </c>
      <c r="AA7" s="50" t="n"/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0.0149669649761218</v>
      </c>
      <c r="C8" s="53">
        <f>IFERROR(B8/B7-1,"")</f>
        <v/>
      </c>
      <c r="D8" s="46" t="n">
        <v>3998636.20652</v>
      </c>
      <c r="E8" s="47" t="n">
        <v>0.4896940602481673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K8" s="28" t="n">
        <v>1</v>
      </c>
      <c r="L8" s="46" t="n">
        <v>4019035.35353</v>
      </c>
      <c r="M8" s="28" t="n">
        <v>1.2074</v>
      </c>
      <c r="O8" s="51" t="n">
        <v>1.6657</v>
      </c>
      <c r="P8" s="51" t="n">
        <v>1.1739</v>
      </c>
      <c r="Q8" s="51" t="n">
        <v>1.1151</v>
      </c>
      <c r="R8" s="52">
        <f>IFERROR(O8/P8,"")</f>
        <v/>
      </c>
      <c r="S8" s="52">
        <f>IFERROR(AVERAGE(R6:R8),"")</f>
        <v/>
      </c>
      <c r="T8" s="52">
        <f>IFERROR(SLOPE(Q4:Q8,ROW(Q4:Q8)),"")</f>
        <v/>
      </c>
      <c r="U8" s="53">
        <f>IFERROR(O8/O5-1,"")</f>
        <v/>
      </c>
      <c r="V8" s="53">
        <f>IFERROR(P8/P5-1,"")</f>
        <v/>
      </c>
      <c r="AA8" s="50" t="n"/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0.0149050859345661</v>
      </c>
      <c r="C9" s="53">
        <f>IFERROR(B9/B8-1,"")</f>
        <v/>
      </c>
      <c r="D9" s="46" t="n">
        <v>2234192.34128</v>
      </c>
      <c r="E9" s="47" t="n">
        <v>0.5182033005451896</v>
      </c>
      <c r="F9" s="48" t="n">
        <v>0.0001081583333333</v>
      </c>
      <c r="G9" s="48" t="n">
        <v>5e-05</v>
      </c>
      <c r="H9" s="48" t="n">
        <v>0.0002796</v>
      </c>
      <c r="I9" s="49" t="n">
        <v>6</v>
      </c>
      <c r="J9" s="50" t="inlineStr">
        <is>
          <t>FLOAT</t>
        </is>
      </c>
      <c r="L9" s="46" t="n">
        <v>3919803.9201946</v>
      </c>
      <c r="M9" s="28" t="n">
        <v>1.1637</v>
      </c>
      <c r="O9" s="51" t="n">
        <v>1.7207</v>
      </c>
      <c r="P9" s="51" t="n">
        <v>1.373</v>
      </c>
      <c r="Q9" s="51" t="n">
        <v>1.3793</v>
      </c>
      <c r="R9" s="52">
        <f>IFERROR(O9/P9,"")</f>
        <v/>
      </c>
      <c r="S9" s="52">
        <f>IFERROR(AVERAGE(R7:R9),"")</f>
        <v/>
      </c>
      <c r="T9" s="52">
        <f>IFERROR(SLOPE(Q5:Q9,ROW(Q5:Q9)),"")</f>
        <v/>
      </c>
      <c r="U9" s="53">
        <f>IFERROR(O9/O6-1,"")</f>
        <v/>
      </c>
      <c r="V9" s="53">
        <f>IFERROR(P9/P6-1,"")</f>
        <v/>
      </c>
      <c r="AA9" s="50" t="n"/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0.0147307021595668</v>
      </c>
      <c r="C10" s="53">
        <f>IFERROR(B10/B9-1,"")</f>
        <v/>
      </c>
      <c r="D10" s="46" t="n">
        <v>2039666.02208</v>
      </c>
      <c r="E10" s="47" t="n">
        <v>0.5287559261604627</v>
      </c>
      <c r="F10" s="48" t="n">
        <v>7.325333333333333e-05</v>
      </c>
      <c r="G10" s="48" t="n">
        <v>5e-05</v>
      </c>
      <c r="H10" s="48" t="n">
        <v>0.00015766</v>
      </c>
      <c r="I10" s="49" t="n">
        <v>6</v>
      </c>
      <c r="J10" s="50" t="inlineStr">
        <is>
          <t>FLOAT</t>
        </is>
      </c>
      <c r="L10" s="46" t="n">
        <v>3610128.86241584</v>
      </c>
      <c r="M10" s="28" t="n">
        <v>1.0346</v>
      </c>
      <c r="O10" s="51" t="n">
        <v>1.6935</v>
      </c>
      <c r="P10" s="51" t="n">
        <v>1.6788</v>
      </c>
      <c r="Q10" s="51" t="n">
        <v>1.7495</v>
      </c>
      <c r="R10" s="52">
        <f>IFERROR(O10/P10,"")</f>
        <v/>
      </c>
      <c r="S10" s="52">
        <f>IFERROR(AVERAGE(R8:R10),"")</f>
        <v/>
      </c>
      <c r="T10" s="52">
        <f>IFERROR(SLOPE(Q6:Q10,ROW(Q6:Q10)),"")</f>
        <v/>
      </c>
      <c r="U10" s="53">
        <f>IFERROR(O10/O7-1,"")</f>
        <v/>
      </c>
      <c r="V10" s="53">
        <f>IFERROR(P10/P7-1,"")</f>
        <v/>
      </c>
      <c r="AA10" s="50" t="n"/>
      <c r="AJ10" s="47">
        <f>IF(OR(AB10="",D10="",D10=0),"",AB10/D10)</f>
        <v/>
      </c>
      <c r="AN10" s="50" t="n"/>
    </row>
    <row r="11" ht="15" customHeight="1" s="29">
      <c r="A11" s="44" t="inlineStr">
        <is>
          <t>2026-07-09</t>
        </is>
      </c>
      <c r="B11" s="45" t="n">
        <v>0.0149165190488646</v>
      </c>
      <c r="C11" s="53">
        <f>IFERROR(B11/B10-1,"")</f>
        <v/>
      </c>
      <c r="D11" s="46" t="n">
        <v>1585348.52764</v>
      </c>
      <c r="E11" s="47" t="n">
        <v>0.4834225092042596</v>
      </c>
      <c r="F11" s="48" t="n">
        <v>5e-05</v>
      </c>
      <c r="G11" s="48" t="n">
        <v>5e-05</v>
      </c>
      <c r="H11" s="48" t="n">
        <v>5e-05</v>
      </c>
      <c r="I11" s="49" t="n">
        <v>6</v>
      </c>
      <c r="J11" s="28" t="inlineStr">
        <is>
          <t>PINNED</t>
        </is>
      </c>
      <c r="K11" s="28" t="n">
        <v>1</v>
      </c>
      <c r="L11" s="46" t="n">
        <v>3703377.95163</v>
      </c>
      <c r="M11" s="28" t="n">
        <v>1.0258</v>
      </c>
      <c r="O11" s="51" t="n">
        <v>1.649</v>
      </c>
      <c r="P11" s="51" t="n">
        <v>1.777</v>
      </c>
      <c r="Q11" s="51" t="n">
        <v>2.0139</v>
      </c>
      <c r="R11" s="52">
        <f>IFERROR(O11/P11,"")</f>
        <v/>
      </c>
      <c r="S11" s="52">
        <f>IFERROR(AVERAGE(R9:R11),"")</f>
        <v/>
      </c>
      <c r="T11" s="52">
        <f>IFERROR(SLOPE(Q7:Q11,ROW(Q7:Q11)),"")</f>
        <v/>
      </c>
      <c r="U11" s="53">
        <f>IFERROR(O11/O8-1,"")</f>
        <v/>
      </c>
      <c r="V11" s="53">
        <f>IFERROR(P11/P8-1,"")</f>
        <v/>
      </c>
      <c r="W11" s="50" t="n"/>
      <c r="AA11" s="50" t="n"/>
      <c r="AJ11" s="47">
        <f>IF(OR(AB11="",D11="",D11=0),"",AB11/D11)</f>
        <v/>
      </c>
      <c r="AN11" s="50" t="n"/>
    </row>
    <row r="12" ht="15" customHeight="1" s="29">
      <c r="A12" s="44" t="inlineStr">
        <is>
          <t>2026-07-10</t>
        </is>
      </c>
      <c r="B12" s="45" t="n">
        <v>0.015688121367546</v>
      </c>
      <c r="C12" s="53">
        <f>IFERROR(B12/B11-1,"")</f>
        <v/>
      </c>
      <c r="D12" s="46" t="n">
        <v>3092893.51746</v>
      </c>
      <c r="E12" s="47" t="n">
        <v>0.4726014443408847</v>
      </c>
      <c r="F12" s="48" t="n">
        <v>0.0002229483333333</v>
      </c>
      <c r="G12" s="48" t="n">
        <v>5e-05</v>
      </c>
      <c r="H12" s="48" t="n">
        <v>0.0003584</v>
      </c>
      <c r="I12" s="49" t="n">
        <v>6</v>
      </c>
      <c r="J12" s="28" t="inlineStr">
        <is>
          <t>FLOAT</t>
        </is>
      </c>
      <c r="L12" s="46" t="n">
        <v>3785021.2347584</v>
      </c>
      <c r="M12" s="28" t="n">
        <v>1.0351</v>
      </c>
      <c r="O12" s="51" t="n">
        <v>1.6521</v>
      </c>
      <c r="P12" s="51" t="n">
        <v>1.8074</v>
      </c>
      <c r="Q12" s="51" t="n">
        <v>2.1027</v>
      </c>
      <c r="R12" s="52">
        <f>IFERROR(O12/P12,"")</f>
        <v/>
      </c>
      <c r="S12" s="52">
        <f>IFERROR(AVERAGE(R10:R12),"")</f>
        <v/>
      </c>
      <c r="T12" s="52">
        <f>IFERROR(SLOPE(Q8:Q12,ROW(Q8:Q12)),"")</f>
        <v/>
      </c>
      <c r="U12" s="53">
        <f>IFERROR(O12/O9-1,"")</f>
        <v/>
      </c>
      <c r="V12" s="53">
        <f>IFERROR(P12/P9-1,"")</f>
        <v/>
      </c>
      <c r="W12" s="50" t="n"/>
      <c r="AA12" s="50" t="n"/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0.0149643088402328</v>
      </c>
      <c r="C13" s="53">
        <f>IFERROR(B13/B12-1,"")</f>
        <v/>
      </c>
      <c r="D13" s="46" t="n">
        <v>5087129.7194</v>
      </c>
      <c r="E13" s="47" t="n">
        <v>0.4201435632151012</v>
      </c>
      <c r="F13" s="48" t="n">
        <v>0.00028204</v>
      </c>
      <c r="G13" s="48" t="n">
        <v>5e-05</v>
      </c>
      <c r="H13" s="48" t="n">
        <v>0.00046765</v>
      </c>
      <c r="I13" s="49" t="n">
        <v>6</v>
      </c>
      <c r="J13" s="28" t="inlineStr">
        <is>
          <t>FLOAT</t>
        </is>
      </c>
      <c r="L13" s="46" t="n">
        <v>4039535.29168</v>
      </c>
      <c r="M13" s="28" t="n">
        <v>1.0908</v>
      </c>
      <c r="O13" s="51" t="n">
        <v>1.6568</v>
      </c>
      <c r="P13" s="51" t="n">
        <v>1.8835</v>
      </c>
      <c r="Q13" s="51" t="n">
        <v>2.1358</v>
      </c>
      <c r="R13" s="52">
        <f>IFERROR(O13/P13,"")</f>
        <v/>
      </c>
      <c r="S13" s="52">
        <f>IFERROR(AVERAGE(R11:R13),"")</f>
        <v/>
      </c>
      <c r="T13" s="52">
        <f>IFERROR(SLOPE(Q9:Q13,ROW(Q9:Q13)),"")</f>
        <v/>
      </c>
      <c r="U13" s="53">
        <f>IFERROR(O13/O10-1,"")</f>
        <v/>
      </c>
      <c r="V13" s="53">
        <f>IFERROR(P13/P10-1,"")</f>
        <v/>
      </c>
      <c r="W13" s="50" t="n"/>
      <c r="AA13" s="50" t="n"/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0.0156643305572706</v>
      </c>
      <c r="C14" s="53">
        <f>IFERROR(B14/B13-1,"")</f>
        <v/>
      </c>
      <c r="D14" s="46" t="n">
        <v>7737632.26554</v>
      </c>
      <c r="E14" s="47" t="n">
        <v>0.4939444565350427</v>
      </c>
      <c r="F14" s="48" t="n">
        <v>0.0001749233333333</v>
      </c>
      <c r="G14" s="48" t="n">
        <v>5.781e-05</v>
      </c>
      <c r="H14" s="48" t="n">
        <v>0.00023305</v>
      </c>
      <c r="I14" s="49" t="n">
        <v>6</v>
      </c>
      <c r="J14" s="28" t="inlineStr">
        <is>
          <t>FLOAT</t>
        </is>
      </c>
      <c r="L14" s="46" t="n">
        <v>3648049.4052</v>
      </c>
      <c r="M14" s="28" t="n">
        <v>0.9925</v>
      </c>
      <c r="O14" s="51" t="n">
        <v>1.7032</v>
      </c>
      <c r="P14" s="51" t="n">
        <v>1.694</v>
      </c>
      <c r="Q14" s="51" t="n">
        <v>1.7571</v>
      </c>
      <c r="R14" s="52">
        <f>IFERROR(O14/P14,"")</f>
        <v/>
      </c>
      <c r="S14" s="52">
        <f>IFERROR(AVERAGE(R12:R14),"")</f>
        <v/>
      </c>
      <c r="T14" s="52">
        <f>IFERROR(SLOPE(Q10:Q14,ROW(Q10:Q14)),"")</f>
        <v/>
      </c>
      <c r="U14" s="53">
        <f>IFERROR(O14/O11-1,"")</f>
        <v/>
      </c>
      <c r="V14" s="53">
        <f>IFERROR(P14/P11-1,"")</f>
        <v/>
      </c>
      <c r="W14" s="50" t="n"/>
      <c r="AA14" s="50" t="n"/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0.0150097239324522</v>
      </c>
      <c r="C15" s="53">
        <f>IFERROR(B15/B14-1,"")</f>
        <v/>
      </c>
      <c r="D15" s="46" t="n">
        <v>5876711.16144</v>
      </c>
      <c r="E15" s="47" t="n">
        <v>0.4754047375273049</v>
      </c>
      <c r="F15" s="48" t="n">
        <v>0.00016166</v>
      </c>
      <c r="G15" s="48" t="n">
        <v>5e-05</v>
      </c>
      <c r="H15" s="48" t="n">
        <v>0.00027553</v>
      </c>
      <c r="I15" s="49" t="n">
        <v>6</v>
      </c>
      <c r="J15" s="28" t="inlineStr">
        <is>
          <t>FLOAT</t>
        </is>
      </c>
      <c r="L15" s="46" t="n">
        <v>4181571.77787</v>
      </c>
      <c r="M15" s="28" t="n">
        <v>1.1291</v>
      </c>
      <c r="O15" s="51" t="n">
        <v>1.7488</v>
      </c>
      <c r="P15" s="51" t="n">
        <v>1.2676</v>
      </c>
      <c r="Q15" s="51" t="n">
        <v>1.2427</v>
      </c>
      <c r="R15" s="52">
        <f>IFERROR(O15/P15,"")</f>
        <v/>
      </c>
      <c r="S15" s="52">
        <f>IFERROR(AVERAGE(R13:R15),"")</f>
        <v/>
      </c>
      <c r="T15" s="52">
        <f>IFERROR(SLOPE(Q11:Q15,ROW(Q11:Q15)),"")</f>
        <v/>
      </c>
      <c r="U15" s="53">
        <f>IFERROR(O15/O12-1,"")</f>
        <v/>
      </c>
      <c r="V15" s="53">
        <f>IFERROR(P15/P12-1,"")</f>
        <v/>
      </c>
      <c r="W15" s="50" t="n"/>
      <c r="AA15" s="50" t="n"/>
      <c r="AJ15" s="47">
        <f>IF(OR(AB15="",D15="",D15=0),"",AB15/D15)</f>
        <v/>
      </c>
      <c r="AL15" s="50" t="n"/>
    </row>
    <row r="16" ht="15" customHeight="1" s="29">
      <c r="A16" s="44" t="inlineStr">
        <is>
          <t>2026-07-14</t>
        </is>
      </c>
      <c r="B16" s="45" t="n">
        <v>0.0152035500639097</v>
      </c>
      <c r="C16" s="53">
        <f>IFERROR(B16/B15-1,"")</f>
        <v/>
      </c>
      <c r="D16" s="46" t="n">
        <v>2231442.34452</v>
      </c>
      <c r="E16" s="47" t="n">
        <v>0.4851628254050874</v>
      </c>
      <c r="F16" s="48" t="n">
        <v>5e-05</v>
      </c>
      <c r="G16" s="48" t="n">
        <v>5e-05</v>
      </c>
      <c r="H16" s="48" t="n">
        <v>5e-05</v>
      </c>
      <c r="I16" s="49" t="n">
        <v>6</v>
      </c>
      <c r="J16" s="28" t="inlineStr">
        <is>
          <t>PINNED</t>
        </is>
      </c>
      <c r="K16" s="28" t="n">
        <v>1</v>
      </c>
      <c r="L16" s="46" t="n">
        <v>3966026.87273247</v>
      </c>
      <c r="M16" s="28" t="n">
        <v>1.0592</v>
      </c>
      <c r="O16" s="51" t="n">
        <v>1.8127</v>
      </c>
      <c r="P16" s="51" t="n">
        <v>1.2889</v>
      </c>
      <c r="Q16" s="51" t="n">
        <v>1.2168</v>
      </c>
      <c r="R16" s="52">
        <f>IFERROR(O16/P16,"")</f>
        <v/>
      </c>
      <c r="S16" s="52">
        <f>IFERROR(AVERAGE(R14:R16),"")</f>
        <v/>
      </c>
      <c r="T16" s="52">
        <f>IFERROR(SLOPE(Q12:Q16,ROW(Q12:Q16)),"")</f>
        <v/>
      </c>
      <c r="U16" s="53">
        <f>IFERROR(O16/O13-1,"")</f>
        <v/>
      </c>
      <c r="V16" s="53">
        <f>IFERROR(P16/P13-1,"")</f>
        <v/>
      </c>
      <c r="W16" s="50" t="n"/>
      <c r="AA16" s="50" t="n"/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0.0153643680398057</v>
      </c>
      <c r="C17" s="53">
        <f>IFERROR(B17/B16-1,"")</f>
        <v/>
      </c>
      <c r="D17" s="46" t="n">
        <v>15102738.57204</v>
      </c>
      <c r="E17" s="47" t="n">
        <v>0.5092075492693098</v>
      </c>
      <c r="F17" s="48" t="n">
        <v>0.0001101583333333</v>
      </c>
      <c r="G17" s="48" t="n">
        <v>5e-05</v>
      </c>
      <c r="H17" s="48" t="n">
        <v>0.00041095</v>
      </c>
      <c r="I17" s="49" t="n">
        <v>6</v>
      </c>
      <c r="J17" s="28" t="inlineStr">
        <is>
          <t>FLOAT</t>
        </is>
      </c>
      <c r="L17" s="46" t="n">
        <v>4045709.36016</v>
      </c>
      <c r="M17" s="54" t="n">
        <v>1.0636</v>
      </c>
      <c r="O17" s="51" t="n">
        <v>1.8834</v>
      </c>
      <c r="P17" s="51" t="n">
        <v>1.4618</v>
      </c>
      <c r="Q17" s="51" t="n">
        <v>1.4814</v>
      </c>
      <c r="R17" s="52">
        <f>IFERROR(O17/P17,"")</f>
        <v/>
      </c>
      <c r="S17" s="52">
        <f>IFERROR(AVERAGE(R15:R17),"")</f>
        <v/>
      </c>
      <c r="T17" s="52">
        <f>IFERROR(SLOPE(Q13:Q17,ROW(Q13:Q17)),"")</f>
        <v/>
      </c>
      <c r="U17" s="53">
        <f>IFERROR(O17/O14-1,"")</f>
        <v/>
      </c>
      <c r="V17" s="53">
        <f>IFERROR(P17/P14-1,"")</f>
        <v/>
      </c>
      <c r="W17" s="50" t="n"/>
      <c r="AA17" s="50" t="n"/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0.0154595186864351</v>
      </c>
      <c r="C18" s="53">
        <f>IFERROR(B18/B17-1,"")</f>
        <v/>
      </c>
      <c r="D18" s="46" t="n">
        <v>3673663.97688</v>
      </c>
      <c r="E18" s="47" t="n">
        <v>0.4874717761027368</v>
      </c>
      <c r="F18" s="48" t="n">
        <v>0.0001210316666666</v>
      </c>
      <c r="G18" s="48" t="n">
        <v>5e-05</v>
      </c>
      <c r="H18" s="48" t="n">
        <v>0.0002721</v>
      </c>
      <c r="I18" s="49" t="n">
        <v>6</v>
      </c>
      <c r="J18" s="28" t="inlineStr">
        <is>
          <t>FLOAT</t>
        </is>
      </c>
      <c r="L18" s="46" t="n">
        <v>6125332.04553</v>
      </c>
      <c r="M18" s="54" t="n">
        <v>1.5822</v>
      </c>
      <c r="O18" s="51" t="n">
        <v>1.4154</v>
      </c>
      <c r="P18" s="51" t="n">
        <v>1.5615</v>
      </c>
      <c r="Q18" s="51" t="n">
        <v>1.4667</v>
      </c>
      <c r="R18" s="52">
        <f>IFERROR(O18/P18,"")</f>
        <v/>
      </c>
      <c r="S18" s="52">
        <f>IFERROR(AVERAGE(R16:R18),"")</f>
        <v/>
      </c>
      <c r="T18" s="52">
        <f>IFERROR(SLOPE(Q14:Q18,ROW(Q14:Q18)),"")</f>
        <v/>
      </c>
      <c r="U18" s="53">
        <f>IFERROR(O18/O15-1,"")</f>
        <v/>
      </c>
      <c r="V18" s="53">
        <f>IFERROR(P18/P15-1,"")</f>
        <v/>
      </c>
      <c r="W18" s="50" t="n"/>
      <c r="AA18" s="50" t="n"/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0.0169219684626267</v>
      </c>
      <c r="C19" s="53">
        <f>IFERROR(B19/B18-1,"")</f>
        <v/>
      </c>
      <c r="D19" s="46" t="n">
        <v>24678006.63704</v>
      </c>
      <c r="E19" s="47" t="n">
        <v>0.4971711271568416</v>
      </c>
      <c r="F19" s="48" t="n">
        <v>0.0002538166666666</v>
      </c>
      <c r="G19" s="48" t="n">
        <v>0.00011075</v>
      </c>
      <c r="H19" s="48" t="n">
        <v>0.00035747</v>
      </c>
      <c r="I19" s="49" t="n">
        <v>6</v>
      </c>
      <c r="J19" s="50" t="inlineStr">
        <is>
          <t>FLOAT</t>
        </is>
      </c>
      <c r="L19" s="46" t="n">
        <v>6122375.81934</v>
      </c>
      <c r="M19" s="54" t="n">
        <v>1.5528</v>
      </c>
      <c r="O19" s="51" t="n">
        <v>1.4507</v>
      </c>
      <c r="P19" s="51" t="n">
        <v>1.5628</v>
      </c>
      <c r="Q19" s="51" t="n">
        <v>1.4969</v>
      </c>
      <c r="R19" s="52">
        <f>IFERROR(O19/P19,"")</f>
        <v/>
      </c>
      <c r="S19" s="52">
        <f>IFERROR(AVERAGE(R17:R19),"")</f>
        <v/>
      </c>
      <c r="T19" s="52">
        <f>IFERROR(SLOPE(Q15:Q19,ROW(Q15:Q19)),"")</f>
        <v/>
      </c>
      <c r="U19" s="53">
        <f>IFERROR(O19/O16-1,"")</f>
        <v/>
      </c>
      <c r="V19" s="53">
        <f>IFERROR(P19/P16-1,"")</f>
        <v/>
      </c>
      <c r="W19" s="50" t="n"/>
      <c r="AA19" s="50" t="n"/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0.0171765164045538</v>
      </c>
      <c r="C20" s="53">
        <f>IFERROR(B20/B19-1,"")</f>
        <v/>
      </c>
      <c r="D20" s="46" t="n">
        <v>8491991.76338</v>
      </c>
      <c r="E20" s="47" t="n">
        <v>0.4962701448405486</v>
      </c>
      <c r="F20" s="48" t="n">
        <v>0.0001529483333333</v>
      </c>
      <c r="G20" s="48" t="n">
        <v>5e-05</v>
      </c>
      <c r="H20" s="48" t="n">
        <v>0.00037102</v>
      </c>
      <c r="I20" s="49" t="n">
        <v>6</v>
      </c>
      <c r="J20" s="28" t="inlineStr">
        <is>
          <t>FLOAT</t>
        </is>
      </c>
      <c r="L20" s="46" t="n">
        <v>7178207.5735595</v>
      </c>
      <c r="M20" s="54" t="n">
        <v>1.7979</v>
      </c>
      <c r="O20" s="51" t="n">
        <v>1.4419</v>
      </c>
      <c r="P20" s="51" t="n">
        <v>1.2696</v>
      </c>
      <c r="Q20" s="51" t="n">
        <v>1.2841</v>
      </c>
      <c r="R20" s="52">
        <f>IFERROR(O20/P20,"")</f>
        <v/>
      </c>
      <c r="S20" s="52">
        <f>IFERROR(AVERAGE(R18:R20),"")</f>
        <v/>
      </c>
      <c r="T20" s="52">
        <f>IFERROR(SLOPE(Q16:Q20,ROW(Q16:Q20)),"")</f>
        <v/>
      </c>
      <c r="U20" s="53">
        <f>IFERROR(O20/O17-1,"")</f>
        <v/>
      </c>
      <c r="V20" s="53">
        <f>IFERROR(P20/P17-1,"")</f>
        <v/>
      </c>
      <c r="AA20" s="50" t="n"/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0.0173322098095639</v>
      </c>
      <c r="C21" s="53">
        <f>IFERROR(B21/B20-1,"")</f>
        <v/>
      </c>
      <c r="D21" s="46" t="n">
        <v>16647813.36078</v>
      </c>
      <c r="E21" s="47" t="n">
        <v>0.4870963550740638</v>
      </c>
      <c r="F21" s="48" t="n">
        <v>0.0001377833333333</v>
      </c>
      <c r="G21" s="48" t="n">
        <v>5e-05</v>
      </c>
      <c r="H21" s="48" t="n">
        <v>0.00054775</v>
      </c>
      <c r="I21" s="49" t="n">
        <v>6</v>
      </c>
      <c r="J21" s="28" t="inlineStr">
        <is>
          <t>FLOAT</t>
        </is>
      </c>
      <c r="L21" s="46" t="n">
        <v>6982667.8074</v>
      </c>
      <c r="M21" s="54" t="n">
        <v>1.733</v>
      </c>
      <c r="O21" s="51" t="n">
        <v>1.4585</v>
      </c>
      <c r="P21" s="51" t="n">
        <v>1.2262</v>
      </c>
      <c r="Q21" s="51" t="n">
        <v>1.1753</v>
      </c>
      <c r="R21" s="52">
        <f>IFERROR(O21/P21,"")</f>
        <v/>
      </c>
      <c r="S21" s="52">
        <f>IFERROR(AVERAGE(R19:R21),"")</f>
        <v/>
      </c>
      <c r="T21" s="52">
        <f>IFERROR(SLOPE(Q17:Q21,ROW(Q17:Q21)),"")</f>
        <v/>
      </c>
      <c r="U21" s="53">
        <f>IFERROR(O21/O18-1,"")</f>
        <v/>
      </c>
      <c r="V21" s="53">
        <f>IFERROR(P21/P18-1,"")</f>
        <v/>
      </c>
      <c r="AA21" s="50" t="n"/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0.0158338033902253</v>
      </c>
      <c r="C22" s="53">
        <f>IFERROR(B22/B21-1,"")</f>
        <v/>
      </c>
      <c r="D22" s="46" t="n">
        <v>7550669.74948</v>
      </c>
      <c r="E22" s="47" t="n">
        <v>0.4496955742141414</v>
      </c>
      <c r="F22" s="48" t="n">
        <v>0.0001454166666666</v>
      </c>
      <c r="G22" s="48" t="n">
        <v>5e-05</v>
      </c>
      <c r="H22" s="48" t="n">
        <v>0.00048538</v>
      </c>
      <c r="I22" s="49" t="n">
        <v>6</v>
      </c>
      <c r="J22" s="28" t="inlineStr">
        <is>
          <t>FLOAT</t>
        </is>
      </c>
      <c r="L22" s="46" t="n">
        <v>4702280.4471575</v>
      </c>
      <c r="M22" s="54" t="n">
        <v>1.1632</v>
      </c>
      <c r="O22" s="51" t="n">
        <v>1.8937</v>
      </c>
      <c r="P22" s="51" t="n">
        <v>1.1349</v>
      </c>
      <c r="Q22" s="51" t="n">
        <v>1.0803</v>
      </c>
      <c r="R22" s="52">
        <f>IFERROR(O22/P22,"")</f>
        <v/>
      </c>
      <c r="S22" s="52">
        <f>IFERROR(AVERAGE(R20:R22),"")</f>
        <v/>
      </c>
      <c r="T22" s="52">
        <f>IFERROR(SLOPE(Q18:Q22,ROW(Q18:Q22)),"")</f>
        <v/>
      </c>
      <c r="U22" s="53">
        <f>IFERROR(O22/O19-1,"")</f>
        <v/>
      </c>
      <c r="V22" s="53">
        <f>IFERROR(P22/P19-1,"")</f>
        <v/>
      </c>
      <c r="AA22" s="50" t="n"/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0.0150939456764887</v>
      </c>
      <c r="C23" s="53">
        <f>IFERROR(B23/B22-1,"")</f>
        <v/>
      </c>
      <c r="D23" s="46" t="n">
        <v>1919723.54124</v>
      </c>
      <c r="E23" s="47" t="n">
        <v>0.4756811771186703</v>
      </c>
      <c r="F23" s="48" t="n">
        <v>5e-05</v>
      </c>
      <c r="G23" s="48" t="n">
        <v>5e-05</v>
      </c>
      <c r="H23" s="48" t="n">
        <v>5e-05</v>
      </c>
      <c r="I23" s="49" t="n">
        <v>6</v>
      </c>
      <c r="J23" s="28" t="inlineStr">
        <is>
          <t>PINNED</t>
        </is>
      </c>
      <c r="K23" s="28" t="n">
        <v>1</v>
      </c>
      <c r="L23" s="46" t="n">
        <v>3924816.43765718</v>
      </c>
      <c r="M23" s="54" t="n">
        <v>0.9709</v>
      </c>
      <c r="O23" s="51" t="n">
        <v>1.9359</v>
      </c>
      <c r="P23" s="51" t="n">
        <v>1.2272</v>
      </c>
      <c r="Q23" s="51" t="n">
        <v>1.1482</v>
      </c>
      <c r="R23" s="52">
        <f>IFERROR(O23/P23,"")</f>
        <v/>
      </c>
      <c r="S23" s="52">
        <f>IFERROR(AVERAGE(R21:R23),"")</f>
        <v/>
      </c>
      <c r="T23" s="52">
        <f>IFERROR(SLOPE(Q19:Q23,ROW(Q19:Q23)),"")</f>
        <v/>
      </c>
      <c r="U23" s="53">
        <f>IFERROR(O23/O20-1,"")</f>
        <v/>
      </c>
      <c r="V23" s="53">
        <f>IFERROR(P23/P20-1,"")</f>
        <v/>
      </c>
      <c r="AA23" s="50" t="n"/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0.015139866343385</v>
      </c>
      <c r="C24" s="53">
        <f>IFERROR(B24/B23-1,"")</f>
        <v/>
      </c>
      <c r="D24" s="46" t="n">
        <v>1713045.74842</v>
      </c>
      <c r="E24" s="47" t="n">
        <v>0.5459623019441526</v>
      </c>
      <c r="F24" s="48" t="n">
        <v>6.360166666666667e-05</v>
      </c>
      <c r="G24" s="48" t="n">
        <v>5e-05</v>
      </c>
      <c r="H24" s="48" t="n">
        <v>0.00013161</v>
      </c>
      <c r="I24" s="49" t="n">
        <v>6</v>
      </c>
      <c r="J24" s="28" t="inlineStr">
        <is>
          <t>FLOAT</t>
        </is>
      </c>
      <c r="L24" s="46" t="n">
        <v>3839507.25819608</v>
      </c>
      <c r="M24" s="54" t="n">
        <v>0.9498</v>
      </c>
      <c r="O24" s="51" t="n">
        <v>1.9084</v>
      </c>
      <c r="P24" s="51" t="n">
        <v>1.5846</v>
      </c>
      <c r="Q24" s="51" t="n">
        <v>1.4994</v>
      </c>
      <c r="R24" s="52">
        <f>IFERROR(O24/P24,"")</f>
        <v/>
      </c>
      <c r="S24" s="52">
        <f>IFERROR(AVERAGE(R22:R24),"")</f>
        <v/>
      </c>
      <c r="T24" s="52">
        <f>IFERROR(SLOPE(Q20:Q24,ROW(Q20:Q24)),"")</f>
        <v/>
      </c>
      <c r="U24" s="53">
        <f>IFERROR(O24/O21-1,"")</f>
        <v/>
      </c>
      <c r="V24" s="53">
        <f>IFERROR(P24/P21-1,"")</f>
        <v/>
      </c>
      <c r="AA24" s="50" t="n"/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0.0179970625217425</v>
      </c>
      <c r="C25" s="53">
        <f>IFERROR(B25/B24-1,"")</f>
        <v/>
      </c>
      <c r="D25" s="46" t="n">
        <v>167259563.39932</v>
      </c>
      <c r="E25" s="47" t="n">
        <v>0.4890935881891488</v>
      </c>
      <c r="F25" s="48" t="n">
        <v>0.0002468083333333</v>
      </c>
      <c r="G25" s="48" t="n">
        <v>5e-05</v>
      </c>
      <c r="H25" s="48" t="n">
        <v>0.00036813</v>
      </c>
      <c r="I25" s="49" t="n">
        <v>6</v>
      </c>
      <c r="J25" s="28" t="inlineStr">
        <is>
          <t>FLOAT</t>
        </is>
      </c>
      <c r="L25" s="46" t="n">
        <v>3946003.54422922</v>
      </c>
      <c r="M25" s="54" t="n">
        <v>0.9761</v>
      </c>
      <c r="O25" s="51" t="n">
        <v>1.9113</v>
      </c>
      <c r="P25" s="51" t="n">
        <v>1.7012</v>
      </c>
      <c r="Q25" s="51" t="n">
        <v>1.809</v>
      </c>
      <c r="R25" s="52">
        <f>IFERROR(O25/P25,"")</f>
        <v/>
      </c>
      <c r="S25" s="52">
        <f>IFERROR(AVERAGE(R23:R25),"")</f>
        <v/>
      </c>
      <c r="T25" s="52">
        <f>IFERROR(SLOPE(Q21:Q25,ROW(Q21:Q25)),"")</f>
        <v/>
      </c>
      <c r="U25" s="53">
        <f>IFERROR(O25/O22-1,"")</f>
        <v/>
      </c>
      <c r="V25" s="53">
        <f>IFERROR(P25/P22-1,"")</f>
        <v/>
      </c>
      <c r="AA25" s="50" t="n"/>
      <c r="AJ25" s="47">
        <f>IF(OR(AB25="",D25="",D25=0),"",AB25/D25)</f>
        <v/>
      </c>
    </row>
    <row r="26" ht="15" customHeight="1" s="29">
      <c r="A26" s="44" t="inlineStr">
        <is>
          <t>2026-07-27</t>
        </is>
      </c>
      <c r="B26" s="45" t="n">
        <v>0.0156768626998776</v>
      </c>
      <c r="C26" s="53">
        <f>IFERROR(B26/B25-1,"")</f>
        <v/>
      </c>
      <c r="D26" s="46" t="n">
        <v>16919045.11194</v>
      </c>
      <c r="E26" s="47" t="n">
        <v>0.4851199670476778</v>
      </c>
      <c r="F26" s="48" t="n">
        <v>0.0003430716666666</v>
      </c>
      <c r="G26" s="48" t="n">
        <v>5e-05</v>
      </c>
      <c r="H26" s="48" t="n">
        <v>0.00065669</v>
      </c>
      <c r="I26" s="49" t="n">
        <v>6</v>
      </c>
      <c r="J26" s="28" t="inlineStr">
        <is>
          <t>FLOAT</t>
        </is>
      </c>
      <c r="L26" s="46" t="n">
        <v>6602997.42389184</v>
      </c>
      <c r="M26" s="54" t="n">
        <v>1.6051</v>
      </c>
      <c r="O26" s="51" t="n">
        <v>2.0591</v>
      </c>
      <c r="P26" s="51" t="n">
        <v>1.3596</v>
      </c>
      <c r="Q26" s="51" t="n">
        <v>1.3691</v>
      </c>
      <c r="R26" s="52">
        <f>IFERROR(O26/P26,"")</f>
        <v/>
      </c>
      <c r="S26" s="52">
        <f>IFERROR(AVERAGE(R24:R26),"")</f>
        <v/>
      </c>
      <c r="T26" s="52">
        <f>IFERROR(SLOPE(Q22:Q26,ROW(Q22:Q26)),"")</f>
        <v/>
      </c>
      <c r="U26" s="53">
        <f>IFERROR(O26/O23-1,"")</f>
        <v/>
      </c>
      <c r="V26" s="53">
        <f>IFERROR(P26/P23-1,"")</f>
        <v/>
      </c>
      <c r="AA26" s="50" t="n"/>
      <c r="AJ26" s="47">
        <f>IF(OR(AB26="",D26="",D26=0),"",AB26/D26)</f>
        <v/>
      </c>
    </row>
    <row r="27" ht="15" customHeight="1" s="29">
      <c r="A27" s="44" t="inlineStr">
        <is>
          <t>2026-07-28</t>
        </is>
      </c>
      <c r="B27" s="45" t="n">
        <v>0.0168086900086867</v>
      </c>
      <c r="C27" s="53">
        <f>IFERROR(B27/B26-1,"")</f>
        <v/>
      </c>
      <c r="D27" s="46" t="n">
        <v>5930775.03944</v>
      </c>
      <c r="E27" s="47" t="n">
        <v>0.4801954465121114</v>
      </c>
      <c r="F27" s="48" t="n">
        <v>0.0001975616666666</v>
      </c>
      <c r="G27" s="48" t="n">
        <v>5.655e-05</v>
      </c>
      <c r="H27" s="48" t="n">
        <v>0.00035535</v>
      </c>
      <c r="I27" s="49" t="n">
        <v>6</v>
      </c>
      <c r="J27" s="28" t="n"/>
      <c r="L27" s="46" t="n">
        <v>10710505.52576626</v>
      </c>
      <c r="M27" s="54" t="n"/>
      <c r="O27" s="51" t="n">
        <v>2.2065</v>
      </c>
      <c r="P27" s="51" t="n">
        <v>0.992</v>
      </c>
      <c r="Q27" s="51" t="n">
        <v>1.0379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n"/>
      <c r="AJ27" s="47">
        <f>IF(OR(AB27="",D27="",D27=0),"",AB27/D27)</f>
        <v/>
      </c>
    </row>
    <row r="28" ht="15" customHeight="1" s="29">
      <c r="A28" s="44" t="inlineStr">
        <is>
          <t>2026-07-29</t>
        </is>
      </c>
      <c r="B28" s="45" t="n">
        <v>0.0156874869638988</v>
      </c>
      <c r="C28" s="53">
        <f>IFERROR(B28/B27-1,"")</f>
        <v/>
      </c>
      <c r="D28" s="46" t="n">
        <v>3001087.06951</v>
      </c>
      <c r="E28" s="47" t="n">
        <v>0.4725181981221648</v>
      </c>
      <c r="F28" s="48" t="n">
        <v>6.6775e-05</v>
      </c>
      <c r="G28" s="48" t="n">
        <v>5e-05</v>
      </c>
      <c r="H28" s="48" t="n">
        <v>0.00014646</v>
      </c>
      <c r="I28" s="49" t="n">
        <v>6</v>
      </c>
      <c r="J28" s="28" t="n"/>
      <c r="K28" s="28" t="n"/>
      <c r="L28" s="46" t="n">
        <v>9909666.0182763</v>
      </c>
      <c r="M28" s="54" t="n"/>
      <c r="O28" s="51" t="n">
        <v>2.3278</v>
      </c>
      <c r="P28" s="51" t="n">
        <v>1.1608</v>
      </c>
      <c r="Q28" s="51" t="n">
        <v>1.3895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n"/>
      <c r="AJ28" s="47">
        <f>IF(OR(AB28="",D28="",D28=0),"",AB28/D28)</f>
        <v/>
      </c>
    </row>
    <row r="29" ht="15" customHeight="1" s="29">
      <c r="A29" s="44" t="inlineStr">
        <is>
          <t>2026-07-30</t>
        </is>
      </c>
      <c r="B29" s="45" t="n">
        <v>0.0152342446246339</v>
      </c>
      <c r="C29" s="53">
        <f>IFERROR(B29/B28-1,"")</f>
        <v/>
      </c>
      <c r="D29" s="46" t="n">
        <v>2995738.46077</v>
      </c>
      <c r="E29" s="47" t="n">
        <v>0.5284798189362505</v>
      </c>
      <c r="F29" s="48" t="n">
        <v>9.596166666666668e-05</v>
      </c>
      <c r="G29" s="48" t="n">
        <v>5e-05</v>
      </c>
      <c r="H29" s="48" t="n">
        <v>0.00020606</v>
      </c>
      <c r="I29" s="49" t="n">
        <v>6</v>
      </c>
      <c r="J29" s="28" t="n"/>
      <c r="L29" s="46" t="n">
        <v>8867578.2372005</v>
      </c>
      <c r="M29" s="54" t="n"/>
      <c r="O29" s="51" t="n">
        <v>2.5585</v>
      </c>
      <c r="P29" s="51" t="n">
        <v>1.209</v>
      </c>
      <c r="Q29" s="51" t="n">
        <v>1.4594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n"/>
      <c r="AJ29" s="47">
        <f>IF(OR(AB29="",D29="",D29=0),"",AB29/D29)</f>
        <v/>
      </c>
      <c r="AL29" s="50" t="n"/>
      <c r="AN29" s="50" t="n"/>
    </row>
    <row r="30" ht="15" customHeight="1" s="29">
      <c r="A30" s="44" t="inlineStr">
        <is>
          <t>2026-07-31</t>
        </is>
      </c>
      <c r="B30" s="45" t="n">
        <v>0.01640271991529722</v>
      </c>
      <c r="C30" s="53">
        <f>IFERROR(B30/B29-1,"")</f>
        <v/>
      </c>
      <c r="D30" s="46" t="n">
        <v>7335938.84066</v>
      </c>
      <c r="E30" s="47" t="n">
        <v>0.4987468671679198</v>
      </c>
      <c r="F30" s="48" t="n">
        <v>0.00031801</v>
      </c>
      <c r="G30" s="48" t="n">
        <v>5e-05</v>
      </c>
      <c r="H30" s="48" t="n">
        <v>0.00080377</v>
      </c>
      <c r="I30" s="49" t="n">
        <v>6</v>
      </c>
      <c r="J30" s="28" t="n"/>
      <c r="L30" s="46" t="n">
        <v>8805698.412641199</v>
      </c>
      <c r="M30" s="54" t="n"/>
      <c r="O30" s="51" t="n">
        <v>2.5455</v>
      </c>
      <c r="P30" s="51" t="n">
        <v>1.2396</v>
      </c>
      <c r="Q30" s="51" t="n">
        <v>1.5575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n"/>
      <c r="AA30" s="50" t="n"/>
      <c r="AB30" s="46" t="n"/>
      <c r="AC30" s="28" t="n"/>
      <c r="AD30" s="46" t="n"/>
      <c r="AE30" s="46" t="n"/>
      <c r="AJ30" s="47">
        <f>IF(OR(AB30="",D30="",D30=0),"",AB30/D30)</f>
        <v/>
      </c>
    </row>
    <row r="31">
      <c r="A31" s="28" t="inlineStr">
        <is>
          <t>2026-08-01</t>
        </is>
      </c>
      <c r="B31" s="28" t="n">
        <v>0.0239455254881411</v>
      </c>
      <c r="C31" s="28">
        <f>IFERROR(B31/B30-1,"")</f>
        <v/>
      </c>
      <c r="D31" s="28" t="n">
        <v>175671534.50156</v>
      </c>
      <c r="E31" s="28" t="n">
        <v>0.5152925209635985</v>
      </c>
      <c r="F31" s="28" t="n">
        <v>9.492333333333332e-05</v>
      </c>
      <c r="G31" s="28" t="n">
        <v>-0.00070055</v>
      </c>
      <c r="H31" s="28" t="n">
        <v>0.00066625</v>
      </c>
      <c r="I31" s="28" t="n">
        <v>6</v>
      </c>
      <c r="J31" s="28" t="inlineStr">
        <is>
          <t>FLOAT</t>
        </is>
      </c>
      <c r="L31" s="28" t="n">
        <v>9844799.294609999</v>
      </c>
      <c r="M31" s="28" t="n">
        <v>1.4493</v>
      </c>
      <c r="N31" s="28" t="n"/>
      <c r="O31" s="28" t="n">
        <v>2.5241</v>
      </c>
      <c r="P31" s="28" t="n">
        <v>1.1825</v>
      </c>
      <c r="Q31" s="28" t="n">
        <v>1.4888</v>
      </c>
      <c r="R31" s="28">
        <f>IFERROR(O31/P31,"")</f>
        <v/>
      </c>
      <c r="S31" s="28">
        <f>IFERROR(AVERAGE(R29:R31),"")</f>
        <v/>
      </c>
      <c r="T31" s="28">
        <f>IFERROR(SLOPE(Q27:Q31,ROW(Q27:Q31)),"")</f>
        <v/>
      </c>
      <c r="U31" s="28">
        <f>IFERROR(O31/O28-1,"")</f>
        <v/>
      </c>
      <c r="V31" s="28">
        <f>IFERROR(P31/P28-1,"")</f>
        <v/>
      </c>
      <c r="Z31" s="28" t="n"/>
      <c r="AA31" s="28" t="inlineStr">
        <is>
          <t>Gate</t>
        </is>
      </c>
      <c r="AB31" s="28" t="n">
        <v>9577588</v>
      </c>
      <c r="AC31" s="28" t="n"/>
      <c r="AJ31" s="28">
        <f>IF(OR(AB31="",D31="",D31=0),"",AB31/D31)</f>
        <v/>
      </c>
      <c r="AN31" s="28" t="n"/>
    </row>
    <row r="32" ht="15" customHeight="1" s="29">
      <c r="A32" s="36" t="inlineStr">
        <is>
          <t>2026-08-02</t>
        </is>
      </c>
      <c r="B32" s="28" t="n">
        <v>0.02311694285969805</v>
      </c>
      <c r="C32" s="28">
        <f>IFERROR(B32/B31-1,"")</f>
        <v/>
      </c>
      <c r="D32" s="28" t="n">
        <v>40715280.86713</v>
      </c>
      <c r="E32" s="28" t="n">
        <v>0.500848557452331</v>
      </c>
      <c r="F32" s="28" t="n">
        <v>5e-05</v>
      </c>
      <c r="G32" s="28" t="n">
        <v>5e-05</v>
      </c>
      <c r="H32" s="28" t="n">
        <v>5e-05</v>
      </c>
      <c r="I32" s="28" t="n">
        <v>6</v>
      </c>
      <c r="J32" s="28" t="inlineStr">
        <is>
          <t>PINNED</t>
        </is>
      </c>
      <c r="K32" s="28" t="n">
        <v>1</v>
      </c>
      <c r="L32" s="28" t="n">
        <v>10483341.9772</v>
      </c>
      <c r="M32" s="28" t="n">
        <v>1.4806</v>
      </c>
      <c r="O32" s="28" t="n">
        <v>1.7314</v>
      </c>
      <c r="P32" s="28" t="n">
        <v>1.1782</v>
      </c>
      <c r="Q32" s="28" t="n">
        <v>1.1436</v>
      </c>
      <c r="R32" s="28">
        <f>IFERROR(O32/P32,"")</f>
        <v/>
      </c>
      <c r="S32" s="28">
        <f>IFERROR(AVERAGE(R30:R32),"")</f>
        <v/>
      </c>
      <c r="T32" s="28">
        <f>IFERROR(SLOPE(Q28:Q32,ROW(Q28:Q32)),"")</f>
        <v/>
      </c>
      <c r="U32" s="28">
        <f>IFERROR(O32/O29-1,"")</f>
        <v/>
      </c>
      <c r="V32" s="28">
        <f>IFERROR(P32/P29-1,"")</f>
        <v/>
      </c>
      <c r="AA32" s="28" t="inlineStr">
        <is>
          <t>Gate</t>
        </is>
      </c>
      <c r="AB32" s="28" t="n">
        <v>1547487</v>
      </c>
      <c r="AC32" s="28" t="n"/>
      <c r="AJ32" s="28">
        <f>IF(OR(AB32="",D32="",D32=0),"",AB32/D32)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2"/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31/07→02/08</t>
        </is>
      </c>
      <c r="B4" s="33" t="inlineStr">
        <is>
          <t>13 vi nhan ~273M IDOL (~5.7% supply) tu Binance. 7 vi x20M chia may (Sent=0, hold). 58bro nhan 51.36M, sent 27.06M (trung chuyen — dich PENDING). Ngay chinh xac PENDING. PUMP_STAGING?/RELOCATION? — CHUA GAN, can infra_gate label-check truoc (&gt;=2% supply, an TAG/Bitget)</t>
        </is>
      </c>
      <c r="C4" s="33" t="inlineStr">
        <is>
          <t>Nansen UI (so hua, chua co txhash)</t>
        </is>
      </c>
      <c r="D4" s="33" t="inlineStr">
        <is>
          <t>PENDING-VERIFY: txhash + ngay chinh xac tu Nansen. Doc: rut TRONG markup (gia len 0.016→0.024 01-02/08) — hai khuon canh tranh: (1) that float leg-2 (ESPORTS-10% pattern) vs (2) chot chien loi pham on-chain. E1 han cap -&gt; P3: can operator feed dia chi + txhash de phan loai.</t>
        </is>
      </c>
    </row>
    <row r="5" ht="15" customHeight="1" s="29">
      <c r="A5" s="33" t="inlineStr">
        <is>
          <t>2026-08-02</t>
        </is>
      </c>
      <c r="B5" s="33" t="inlineStr">
        <is>
          <t>Gate wallet 0x0d0707 +54.76M IDOL (~1.14% supply) trong 1d; +148.29M trong 30d. Huong: DEPOSIT vao Gate. Y dinh: PENDING — can ma tran BTW-vs-IDOL + vi tri chu ky tu B5</t>
        </is>
      </c>
      <c r="C5" s="33" t="inlineStr">
        <is>
          <t>Nansen UI (so hua, chua co txhash)</t>
        </is>
      </c>
      <c r="D5" s="33" t="inlineStr">
        <is>
          <t>[HA CAP] &lt;2% supply — khong dang ke tren on-chain thesis. Giu dong lam vet. PENDING-VERIFY: txhash + phan loai BTW-vs-IDOL (Gate wallet 0x0d0707 co phai cung operator BTW khong?)</t>
        </is>
      </c>
    </row>
    <row r="6" ht="15" customHeight="1" s="29">
      <c r="A6" s="33" t="n"/>
      <c r="B6" s="33" t="n"/>
      <c r="C6" s="33" t="n"/>
      <c r="D6" s="33" t="n"/>
    </row>
    <row r="7" ht="15" customHeight="1" s="29">
      <c r="A7" s="33" t="n"/>
      <c r="B7" s="33" t="n"/>
      <c r="C7" s="33" t="n"/>
      <c r="D7" s="33" t="n"/>
    </row>
    <row r="8" ht="15" customHeight="1" s="29">
      <c r="A8" s="33" t="n"/>
      <c r="B8" s="33" t="n"/>
      <c r="C8" s="33" t="n"/>
      <c r="D8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2"/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inlineStr">
        <is>
          <t>T1</t>
        </is>
      </c>
      <c r="B4" s="33" t="inlineStr">
        <is>
          <t>Redeposit bat ky vi nao trong cum 13</t>
        </is>
      </c>
      <c r="C4" s="33" t="inlineStr">
        <is>
          <t>Bat ky vi trong cum 13 ~273M gui lai len san (BscScan detect)</t>
        </is>
      </c>
      <c r="D4" s="33" t="inlineStr">
        <is>
          <t>DONG AN XA TUC THOI — tiet lo y dinh muon ban; khong gia han wait</t>
        </is>
      </c>
      <c r="E4" s="34" t="inlineStr">
        <is>
          <t>CHUA BAT — watcher 0-credit pending B5</t>
        </is>
      </c>
    </row>
    <row r="5" ht="15" customHeight="1" s="29">
      <c r="A5" s="33" t="inlineStr">
        <is>
          <t>T2</t>
        </is>
      </c>
      <c r="B5" s="33" t="inlineStr">
        <is>
          <t>gLSR flush &lt;=1.1 + funding tai ghin &gt;=3d</t>
        </is>
      </c>
      <c r="C5" s="33" t="inlineStr">
        <is>
          <t>glsr &lt;= 1.1 lien tuc &gt;=3 nen VA f_avg &lt;= 5e-5 &gt;=3 nen</t>
        </is>
      </c>
      <c r="D5" s="33" t="inlineStr">
        <is>
          <t>Ho so re-staging leg-2 song — theo doi luc luong crowd short nap nhien lieu</t>
        </is>
      </c>
      <c r="E5" s="34" t="inlineStr">
        <is>
          <t>THEO DOI — 02/08 glsr=1.1436 (can them 03/08 de confirm trend)</t>
        </is>
      </c>
    </row>
    <row r="6" ht="15" customHeight="1" s="29">
      <c r="A6" s="33" t="inlineStr">
        <is>
          <t>T3</t>
        </is>
      </c>
      <c r="B6" s="33" t="inlineStr">
        <is>
          <t>pos_r floor hau-sap</t>
        </is>
      </c>
      <c r="C6" s="33" t="inlineStr">
        <is>
          <t>pos_r &gt;= 1.6 tai OI floor = con ghe (dinh luat #9); ga &lt; 1.3 = ghe rong</t>
        </is>
      </c>
      <c r="D6" s="33" t="inlineStr">
        <is>
          <t>Con ghe -&gt; re-staging kha thi; Ghe rong -&gt; dong an/tra gia gap</t>
        </is>
      </c>
      <c r="E6" s="34" t="inlineStr">
        <is>
          <t>THEO DOI — 02/08 pos_r=1.731 (&gt; 1.6, con ghe); OI=10.48M; cho 03/08</t>
        </is>
      </c>
    </row>
    <row r="7" ht="15" customHeight="1" s="29">
      <c r="A7" s="33" t="inlineStr">
        <is>
          <t>T4</t>
        </is>
      </c>
      <c r="B7" s="33" t="inlineStr">
        <is>
          <t>Suppressor bat ky (L-27 §5)</t>
        </is>
      </c>
      <c r="C7" s="33" t="inlineStr">
        <is>
          <t>dist_wall &lt; L-27_thresh HOAC neg_div ben &gt;= 3d HOAC post_climax flag</t>
        </is>
      </c>
      <c r="D7" s="33" t="inlineStr">
        <is>
          <t>STAND_ASIDE — khong vao/them bat ke phe nao</t>
        </is>
      </c>
      <c r="E7" s="34" t="inlineStr">
        <is>
          <t>CHO SO — cols 23/24 chua co gia tri (formula chua tinh)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n"/>
      <c r="B3" s="55" t="n"/>
      <c r="C3" s="55" t="n"/>
      <c r="D3" s="55" t="n"/>
      <c r="E3" s="55" t="n"/>
      <c r="F3" s="55" t="n"/>
      <c r="G3" s="55" t="n"/>
      <c r="H3" s="55" t="n"/>
      <c r="I3" s="55" t="n"/>
    </row>
    <row r="4" ht="15" customHeight="1" s="29">
      <c r="A4" s="33" t="n"/>
      <c r="B4" s="33" t="n"/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n"/>
      <c r="B5" s="33" t="n"/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n"/>
      <c r="B6" s="33" t="n"/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n"/>
      <c r="B7" s="33" t="n"/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 — chua co ho so listing chinh thuc; can tra (PENDING)</t>
        </is>
      </c>
    </row>
    <row r="4" ht="15" customHeight="1" s="29">
      <c r="A4" s="32" t="inlineStr">
        <is>
          <t>MM_ID</t>
        </is>
      </c>
      <c r="B4" s="33" t="inlineStr">
        <is>
          <t>unknown-IDOL (chua du 3 van tay de gan; nghi khuon AKE/bid-walk theo hanh vi staging that)</t>
        </is>
      </c>
    </row>
    <row r="5" ht="15" customHeight="1" s="29">
      <c r="A5" s="32" t="inlineStr">
        <is>
          <t>Van tay funding</t>
        </is>
      </c>
      <c r="B5" s="33" t="inlineStr">
        <is>
          <t>Sau markup 01/08 (+50% 1 nen), f_avg 02/08 = 5e-5 (san/pinned). Trong nghia: MM chu dong de gim funding ve san sau markup — crowd khong chase (khong co premium demand); CONSISTENT EVAA khuon (re-staging, khong phai climax). Taker 01/08 = 51.5% (&lt;55%) = bid-walk, khong drive up funding. VAN TAY: pin-post-markup + taker&lt;55% = BIDWALK-A fingerprint.</t>
        </is>
      </c>
    </row>
    <row r="6" ht="15" customHeight="1" s="29">
      <c r="A6" s="32" t="inlineStr">
        <is>
          <t>Van tay markup</t>
        </is>
      </c>
      <c r="B6" s="33" t="inlineStr">
        <is>
          <t>01/08: vol_q=175.67M (~10x nen binh quan 28-31/07 ~17M), taker=51.5% (duoi 55% suot ca cu markup) — bid-walk ro rang. OI: 27/07 6.60M → 28/07 10.71M (+62%) → 01/08 9.84M → 02/08 10.48M. pos_r: leo 2.059→2.558 truoc ignition, sap 2.524→1.731 sau markup. Timing: top longs loaded 28-31/07 (pre-ignition), exit 02/08 khi crowd gap vao (OI tang nhung pos_r sap). KHUON NGHI VAN: BIDWALK-A (bid limit trong khi taker bearish/neutral).</t>
        </is>
      </c>
    </row>
    <row r="7" ht="15" customHeight="1" s="29">
      <c r="A7" s="32" t="inlineStr">
        <is>
          <t>Ky thuat quan crowd</t>
        </is>
      </c>
      <c r="B7" s="33" t="inlineStr">
        <is>
          <t>23/07 vol spike (167M, 8x nen) - bait-probe NGHI VAN (can taker 23/07). 28/07 OI +62% nhung taker=0.480 (bear) = MM mua limit trong khi retail sell. 01/08 markup: taker 51.5% — crowd KHONG phat hien hoac khong dan vao, MM lam gia don gian. 31/07→02/08 rut on-chain 273M TRONG markup = phuc tap: hoac thang float (giam supply san), hoac chot loi on-chain. gLSR: 1.369→1.038 (28/07, crowd giam short) → leo 1.558 (31/07) → sap 1.144 (02/08, crowd tiep tuc unwind).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(7 vi x20M hold, Sent=0) — GIONG BANK; nghi MM-BIDWALK-A khuon</t>
        </is>
      </c>
    </row>
    <row r="9" ht="15" customHeight="1" s="29">
      <c r="A9" s="32" t="inlineStr">
        <is>
          <t>Venue</t>
        </is>
      </c>
      <c r="B9" s="33" t="inlineStr">
        <is>
          <t>Binance perp (chinh, OI uu the); Gate spot (bai do / deposit point)</t>
        </is>
      </c>
    </row>
    <row r="10" ht="15" customHeight="1" s="29">
      <c r="A10" s="32" t="inlineStr">
        <is>
          <t>Cross-campaign</t>
        </is>
      </c>
      <c r="B10" s="34" t="inlineStr">
        <is>
          <t>PENDING — ma tran BTW-vs-IDOL: Gate wallet 0x0d0707 co lien he BTW khong? E2 ha cap (&lt;2% supply) nhung van giu vet de check cross-campaign. Can: operator feed txhash va label cho 0x0d0707.</t>
        </is>
      </c>
    </row>
    <row r="11" ht="15" customHeight="1" s="29">
      <c r="A11" s="32" t="inlineStr">
        <is>
          <t>Ung xu voi minh</t>
        </is>
      </c>
      <c r="B11" s="34" t="inlineStr">
        <is>
          <t>MM_ID: unknown-IDOL (nghi BIDWALK-A khuon). Du kien 3 van tay can xac nhan: (1) BIDWALK-A: markup taker&lt;55% DONE (01/08 = 51.5%); (2) Bait-probe: vol spike 23/07, PENDING taker; (3) On-chain staging: 7 vi x20M Sent=0 — DONE (giong BANK). Neu bait-probe confirm: so sanh voi AKE/BANK MM_BOOK. Verdict MM_ID: TAM THOI BIDWALK-A, cho them du lieu.</t>
        </is>
      </c>
    </row>
    <row r="12">
      <c r="A12" s="28" t="n"/>
    </row>
    <row r="13">
      <c r="A13" s="28" t="n"/>
    </row>
    <row r="14">
      <c r="A14" s="2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 (uoc tinh)</t>
        </is>
      </c>
      <c r="B3" s="34" t="inlineStr">
        <is>
          <t>~4.79B IDOL (uoc tinh tu E1: 273M=5.7% supply); chinh xac PENDING</t>
        </is>
      </c>
    </row>
    <row r="4" ht="15" customHeight="1" s="29">
      <c r="A4" s="32" t="inlineStr">
        <is>
          <t>Nguon tra</t>
        </is>
      </c>
      <c r="B4" s="34" t="inlineStr">
        <is>
          <t>Tokenomist, CryptoRank, project docs — da thu khong co ket qua (NO_DATA 2026-08-03)</t>
        </is>
      </c>
    </row>
    <row r="5" ht="15" customHeight="1" s="29">
      <c r="A5" s="32" t="inlineStr">
        <is>
          <t>Unlock KE TIEP</t>
        </is>
      </c>
      <c r="B5" s="34" t="inlineStr">
        <is>
          <t>NO_DATA — khong tim thay lich unlock tu nguon free</t>
        </is>
      </c>
    </row>
    <row r="6" ht="15" customHeight="1" s="29">
      <c r="A6" s="32" t="inlineStr">
        <is>
          <t>Unlock 90 ngay toi</t>
        </is>
      </c>
      <c r="B6" s="34" t="inlineStr">
        <is>
          <t>NO_DATA</t>
        </is>
      </c>
    </row>
    <row r="7" ht="15" customHeight="1" s="29">
      <c r="A7" s="32" t="inlineStr">
        <is>
          <t>Cliff da qua gan nhat</t>
        </is>
      </c>
      <c r="B7" s="34" t="inlineStr">
        <is>
          <t>NO_DATA</t>
        </is>
      </c>
    </row>
    <row r="8" ht="15" customHeight="1" s="29">
      <c r="A8" s="32" t="inlineStr">
        <is>
          <t>Doc</t>
        </is>
      </c>
      <c r="B8" s="33" t="inlineStr">
        <is>
          <t>L-12: can unlock de biet moc deadline MM (keo truoc/de truoc unlock). Operator: tra Tokenomist.io + CryptoRank + docs du an. Neu co unlock lon 30-60d toi -&gt; kich ban keo-truoc-unlock vao EVENTS.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2026-08-03T03:13:16Z</dcterms:modified>
  <cp:revision>0</cp:revision>
</cp:coreProperties>
</file>