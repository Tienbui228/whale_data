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0.00000000"/>
    <numFmt numFmtId="166" formatCode="0.0"/>
    <numFmt numFmtId="167" formatCode="0.000000"/>
    <numFmt numFmtId="168" formatCode="0.0000"/>
    <numFmt numFmtId="169" formatCode="0.000"/>
    <numFmt numFmtId="170" formatCode="0.0%"/>
    <numFmt numFmtId="171" formatCode="0.00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B3F00"/>
        <bgColor rgb="FF806000"/>
      </patternFill>
    </fill>
    <fill>
      <patternFill patternType="solid">
        <fgColor rgb="FF806000"/>
        <bgColor rgb="FF7B3F00"/>
      </patternFill>
    </fill>
    <fill>
      <patternFill patternType="solid">
        <fgColor rgb="FFBF8F00"/>
        <bgColor rgb="FFFF6600"/>
      </patternFill>
    </fill>
    <fill>
      <patternFill patternType="solid">
        <fgColor rgb="FF404040"/>
        <bgColor rgb="FF375623"/>
      </patternFill>
    </fill>
    <fill>
      <patternFill patternType="solid">
        <fgColor rgb="00D4A84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9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9" fontId="7" fillId="0" borderId="1" applyAlignment="1" pivotButton="0" quotePrefix="0" xfId="0">
      <alignment horizontal="general" vertical="bottom"/>
    </xf>
    <xf numFmtId="49" fontId="7" fillId="0" borderId="1" applyAlignment="1" pivotButton="0" quotePrefix="0" xfId="0">
      <alignment horizontal="general" vertical="bottom"/>
    </xf>
    <xf numFmtId="170" fontId="7" fillId="0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center" vertical="center"/>
    </xf>
    <xf numFmtId="0" fontId="10" fillId="10" borderId="0" pivotButton="0" quotePrefix="0" xfId="0"/>
    <xf numFmtId="0" fontId="1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49" fontId="0" fillId="11" borderId="0" pivotButton="0" quotePrefix="0" xfId="0"/>
    <xf numFmtId="171" fontId="0" fillId="11" borderId="0" pivotButton="0" quotePrefix="0" xfId="0"/>
    <xf numFmtId="170" fontId="0" fillId="11" borderId="0" pivotButton="0" quotePrefix="0" xfId="0"/>
    <xf numFmtId="0" fontId="0" fillId="11" borderId="0" pivotButton="0" quotePrefix="0" xfId="0"/>
    <xf numFmtId="3" fontId="0" fillId="11" borderId="0" pivotButton="0" quotePrefix="0" xfId="0"/>
    <xf numFmtId="171" fontId="7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7" min="1" max="1"/>
    <col width="100" customWidth="1" style="27" min="2" max="2"/>
  </cols>
  <sheetData>
    <row r="1" ht="16.15" customHeight="1" s="28">
      <c r="A1" s="29" t="inlineStr">
        <is>
          <t>CASE FILE — BANK</t>
        </is>
      </c>
    </row>
    <row r="2" ht="15" customHeight="1" s="28">
      <c r="A2" s="30" t="inlineStr">
        <is>
          <t>Nguon: case_tracker v1.1 · verdict chi operator ghi · so kem nguon · PENDING khong doan</t>
        </is>
      </c>
    </row>
    <row r="4" ht="15" customHeight="1" s="28">
      <c r="A4" s="31" t="inlineStr">
        <is>
          <t>Status</t>
        </is>
      </c>
      <c r="B4" s="32" t="inlineStr">
        <is>
          <t>TRACKING (hau-campaign — theo doi outcome)</t>
        </is>
      </c>
    </row>
    <row r="5" ht="15" customHeight="1" s="28">
      <c r="A5" s="31" t="inlineStr">
        <is>
          <t>Loai</t>
        </is>
      </c>
      <c r="B5" s="32" t="inlineStr">
        <is>
          <t>pump-setup -&gt; da chay tron (+6.8x), stealth ky luc</t>
        </is>
      </c>
    </row>
    <row r="6" ht="15" customHeight="1" s="28">
      <c r="A6" s="31" t="inlineStr">
        <is>
          <t>Ngay phat hien</t>
        </is>
      </c>
      <c r="B6" s="32" t="inlineStr">
        <is>
          <t>hoi to (calib 13-20/07); ho so 4 lop 29/07 (BANK_4layer.md)</t>
        </is>
      </c>
    </row>
    <row r="7" ht="15" customHeight="1" s="28">
      <c r="A7" s="31" t="inlineStr">
        <is>
          <t>T0</t>
        </is>
      </c>
      <c r="B7" s="32" t="inlineStr">
        <is>
          <t>2026-07-10 ignition · px T0 ~0.056</t>
        </is>
      </c>
    </row>
    <row r="8" ht="15" customHeight="1" s="28">
      <c r="A8" s="31" t="inlineStr">
        <is>
          <t>action_class</t>
        </is>
      </c>
      <c r="B8" s="33" t="inlineStr">
        <is>
          <t>WATCH-only — smart money da ra (pos 3.7-&gt;1.09 T+2..T+10)</t>
        </is>
      </c>
    </row>
    <row r="9" ht="15" customHeight="1" s="28">
      <c r="A9" s="31" t="inlineStr">
        <is>
          <t>Vi the</t>
        </is>
      </c>
      <c r="B9" s="32" t="inlineStr">
        <is>
          <t>none</t>
        </is>
      </c>
    </row>
    <row r="10" ht="15" customHeight="1" s="28">
      <c r="A10" s="31" t="inlineStr">
        <is>
          <t>Tom tat input</t>
        </is>
      </c>
      <c r="B10" s="32" t="inlineStr">
        <is>
          <t>Tell som nhat T-11 (Jun29) lsr_accum div 4.03/gLSR 0.73 · bait T-8 vol 13x · pin 7d, break sau T+1 · stealth T+5-6 · s3_eve negative · div dinh ~5.5 ky luc · concentration_shift KHONG ban = negative case hop le (level-type)</t>
        </is>
      </c>
    </row>
    <row r="11" ht="15" customHeight="1" s="28">
      <c r="A11" s="31" t="inlineStr">
        <is>
          <t>Verdict (operator)</t>
        </is>
      </c>
      <c r="B11" s="33" t="inlineStr">
        <is>
          <t>campaign MM-BIDWALK-A hoan chinh; he bat duoc tell T-11 bang 1 lop PERP don doc — doi da lop lam DK ARMED se lot ho BANK</t>
        </is>
      </c>
    </row>
    <row r="12" ht="15" customHeight="1" s="28">
      <c r="A12" s="31" t="inlineStr">
        <is>
          <t>Dieu gi chung minh SAI</t>
        </is>
      </c>
      <c r="B12" s="33" t="inlineStr">
        <is>
          <t>pos hoi &gt;2.5 ben tai nen moi = chua ra het / vong 2</t>
        </is>
      </c>
    </row>
    <row r="14" ht="39.75" customHeight="1" s="28">
      <c r="A14" s="34" t="inlineStr">
        <is>
          <t>LEGEND</t>
        </is>
      </c>
      <c r="B14" s="35" t="inlineStr">
        <is>
          <t xml:space="preserve">O vang = operator dien/quyet · Header nau vang (sheet DAILY) = cot manual · Dong to cam (DAILY) = data_bad=1, so mang sai so · Cot cong thuc (ret_1d, div, slope, oi_vs_med14, alpha) tu tinh khi may append dong moi — copy cong thuc dong tren xuong. </t>
        </is>
      </c>
    </row>
    <row r="16">
      <c r="A16" s="54">
        <f>== PROBE-VERIFIED — H1/H2/H3 (04/08/2026) ===</f>
        <v/>
      </c>
    </row>
    <row r="17">
      <c r="A17" s="27" t="inlineStr">
        <is>
          <t>px_T0 probe-verified</t>
        </is>
      </c>
      <c r="B17" s="27" t="inlineStr">
        <is>
          <t>0.03773 (freshwatch 10/07 px_avg)</t>
        </is>
      </c>
    </row>
    <row r="18">
      <c r="A18" s="27" t="inlineStr">
        <is>
          <t>px_max [1h spike native]</t>
        </is>
      </c>
      <c r="B18" s="27" t="inlineStr">
        <is>
          <t>0.67205 USDT — 27/07 06:00 UTC (fapi 1h high, vol 299M USDT)</t>
        </is>
      </c>
    </row>
    <row r="19">
      <c r="A19" s="27" t="inlineStr">
        <is>
          <t>px_max [daily avg basis]</t>
        </is>
      </c>
      <c r="B19" s="27" t="inlineStr">
        <is>
          <t>0.37632 USDT — 26/07 freshwatch avg (truoc da dung lam px_max)</t>
        </is>
      </c>
    </row>
    <row r="20">
      <c r="A20" s="27" t="inlineStr">
        <is>
          <t>px_max [close basis]</t>
        </is>
      </c>
      <c r="B20" s="27" t="inlineStr">
        <is>
          <t>0.41958 USDT — 27/07 close (fapi 1h)</t>
        </is>
      </c>
    </row>
    <row r="21">
      <c r="A21" s="27" t="inlineStr">
        <is>
          <t>markup T0→spike_high</t>
        </is>
      </c>
      <c r="B21" s="27" t="inlineStr">
        <is>
          <t>+1681% (0.03773→0.67205)</t>
        </is>
      </c>
    </row>
    <row r="22">
      <c r="A22" s="27" t="inlineStr">
        <is>
          <t>markup T0→daily_avg_max</t>
        </is>
      </c>
      <c r="B22" s="27" t="inlineStr">
        <is>
          <t>+897% (0.03773→0.37632)</t>
        </is>
      </c>
    </row>
    <row r="23">
      <c r="A23" s="27" t="inlineStr">
        <is>
          <t>OI PRE range (25/06-09/07)</t>
        </is>
      </c>
      <c r="B23" s="27" t="inlineStr">
        <is>
          <t>4.31M→4.73M FLAT — khong xay duoc truoc markup</t>
        </is>
      </c>
    </row>
    <row r="24">
      <c r="A24" s="27" t="inlineStr">
        <is>
          <t>OI MARKUP peak (19/07)</t>
        </is>
      </c>
      <c r="B24" s="27" t="inlineStr">
        <is>
          <t>26.56M USD (tu 4.47M T0: +22M trong 9 ngay)</t>
        </is>
      </c>
    </row>
    <row r="25">
      <c r="A25" s="27" t="inlineStr">
        <is>
          <t>MM_build_VWAP</t>
        </is>
      </c>
      <c r="B25" s="27" t="inlineStr">
        <is>
          <t>0.03943 USDT (daily 25/06-12/07 approx)</t>
        </is>
      </c>
    </row>
    <row r="26">
      <c r="A26" s="27" t="inlineStr">
        <is>
          <t>MM_exit_VWAP</t>
        </is>
      </c>
      <c r="B26" s="27" t="inlineStr">
        <is>
          <t>0.19710 USDT (1h klines 19-21/07, pos_r sap window)</t>
        </is>
      </c>
    </row>
    <row r="27">
      <c r="A27" s="27" t="inlineStr">
        <is>
          <t>MM_multiple_thuc</t>
        </is>
      </c>
      <c r="B27" s="27" t="inlineStr">
        <is>
          <t>5.00x (+400%) = exit_VWAP / build_VWAP</t>
        </is>
      </c>
    </row>
    <row r="28">
      <c r="A28" s="27" t="inlineStr">
        <is>
          <t>MM_funding_PnL_PRE_MARKUP</t>
        </is>
      </c>
      <c r="B28" s="27" t="inlineStr">
        <is>
          <t>$26K-$43K total (27/06-19/07, 3-5M long, khong dang ke)</t>
        </is>
      </c>
    </row>
    <row r="29">
      <c r="A29" s="27" t="inlineStr">
        <is>
          <t>gLSR_min_POST</t>
        </is>
      </c>
      <c r="B29" s="27" t="inlineStr">
        <is>
          <t>0.390 — 20/07 (ngay sau pos_r crash)</t>
        </is>
      </c>
    </row>
    <row r="30">
      <c r="A30" s="27" t="inlineStr">
        <is>
          <t>gLSR_slope_flip_sustained</t>
        </is>
      </c>
      <c r="B30" s="27" t="inlineStr">
        <is>
          <t>28/07 (sau spike 27/07) — da tang lien tuc len 1.726 ngay 03/08)</t>
        </is>
      </c>
    </row>
    <row r="31">
      <c r="A31" s="27" t="inlineStr">
        <is>
          <t>pos_r_flat_window</t>
        </is>
      </c>
      <c r="B31" s="27" t="inlineStr">
        <is>
          <t>1.30-1.36 (23-27/07) — khi px tang 0.247→0.376 (+42.7%)</t>
        </is>
      </c>
    </row>
    <row r="32">
      <c r="A32" s="27" t="inlineStr">
        <is>
          <t>pos_r_crash_window</t>
        </is>
      </c>
      <c r="B32" s="27" t="inlineStr">
        <is>
          <t>19-20/07: 1.61→1.09 (MM phan phoi trong khi px van tang)</t>
        </is>
      </c>
    </row>
    <row r="33">
      <c r="A33" s="27" t="inlineStr">
        <is>
          <t>SOURCE</t>
        </is>
      </c>
      <c r="B33" s="27" t="inlineStr">
        <is>
          <t>_probe_bank_h1h2h3_20260804.py run 04/08/2026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O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1" customWidth="1" style="27" min="2" max="2"/>
    <col width="8" customWidth="1" style="27" min="3" max="3"/>
    <col width="13" customWidth="1" style="27" min="4" max="4"/>
    <col width="9" customWidth="1" style="27" min="5" max="5"/>
    <col width="10" customWidth="1" style="27" min="6" max="8"/>
    <col width="5" customWidth="1" style="27" min="9" max="9"/>
    <col width="12" customWidth="1" style="27" min="10" max="10"/>
    <col width="7" customWidth="1" style="27" min="11" max="11"/>
    <col width="13" customWidth="1" style="27" min="12" max="12"/>
    <col width="9" customWidth="1" style="27" min="13" max="17"/>
    <col width="8" customWidth="1" style="27" min="18" max="19"/>
    <col width="9" customWidth="1" style="27" min="20" max="20"/>
    <col width="8" customWidth="1" style="27" min="21" max="22"/>
    <col width="22" customWidth="1" style="27" min="23" max="23"/>
    <col width="16" customWidth="1" style="27" min="24" max="24"/>
    <col width="8" customWidth="1" style="27" min="25" max="25"/>
    <col width="7" customWidth="1" style="27" min="26" max="26"/>
    <col width="9" customWidth="1" style="27" min="27" max="27"/>
    <col width="12" customWidth="1" style="27" min="28" max="28"/>
    <col width="9" customWidth="1" style="27" min="29" max="29"/>
    <col width="11" customWidth="1" style="27" min="30" max="35"/>
    <col width="9" customWidth="1" style="27" min="36" max="36"/>
    <col width="14" customWidth="1" style="27" min="37" max="37"/>
    <col width="18" customWidth="1" style="27" min="38" max="38"/>
    <col width="9" customWidth="1" style="27" min="39" max="39"/>
    <col width="30" customWidth="1" style="27" min="40" max="40"/>
    <col width="22" customWidth="1" style="27" min="41" max="41"/>
  </cols>
  <sheetData>
    <row r="1" ht="15.75" customHeight="1" s="28">
      <c r="A1" s="36" t="inlineStr">
        <is>
          <t>PERP (may)</t>
        </is>
      </c>
      <c r="AA1" s="37" t="inlineStr">
        <is>
          <t>SPOT/ALPHA (may)</t>
        </is>
      </c>
      <c r="AK1" s="38" t="inlineStr">
        <is>
          <t>ON-CHAIN (ban tu dong)</t>
        </is>
      </c>
      <c r="AN1" s="39" t="inlineStr">
        <is>
          <t>MANUAL (operator)</t>
        </is>
      </c>
    </row>
    <row r="2" ht="15" customHeight="1" s="28">
      <c r="A2" s="40" t="inlineStr">
        <is>
          <t>date</t>
        </is>
      </c>
      <c r="B2" s="40" t="inlineStr">
        <is>
          <t>px_avg</t>
        </is>
      </c>
      <c r="C2" s="40" t="inlineStr">
        <is>
          <t>ret_1d</t>
        </is>
      </c>
      <c r="D2" s="40" t="inlineStr">
        <is>
          <t>vol_perp_usd</t>
        </is>
      </c>
      <c r="E2" s="40" t="inlineStr">
        <is>
          <t>taker_buy_pct</t>
        </is>
      </c>
      <c r="F2" s="40" t="inlineStr">
        <is>
          <t>f_avg</t>
        </is>
      </c>
      <c r="G2" s="40" t="inlineStr">
        <is>
          <t>f_min</t>
        </is>
      </c>
      <c r="H2" s="40" t="inlineStr">
        <is>
          <t>f_max</t>
        </is>
      </c>
      <c r="I2" s="40" t="inlineStr">
        <is>
          <t>f_n</t>
        </is>
      </c>
      <c r="J2" s="40" t="inlineStr">
        <is>
          <t>funding_regime</t>
        </is>
      </c>
      <c r="K2" s="40" t="inlineStr">
        <is>
          <t>pin_streak</t>
        </is>
      </c>
      <c r="L2" s="40" t="inlineStr">
        <is>
          <t>oi_usd</t>
        </is>
      </c>
      <c r="M2" s="40" t="inlineStr">
        <is>
          <t>oi_vs_med14</t>
        </is>
      </c>
      <c r="N2" s="40" t="inlineStr">
        <is>
          <t>oi_cycle_pos</t>
        </is>
      </c>
      <c r="O2" s="40" t="inlineStr">
        <is>
          <t>lsr_pos_r</t>
        </is>
      </c>
      <c r="P2" s="40" t="inlineStr">
        <is>
          <t>lsr_acc_r</t>
        </is>
      </c>
      <c r="Q2" s="40" t="inlineStr">
        <is>
          <t>lsr_global_r</t>
        </is>
      </c>
      <c r="R2" s="40" t="inlineStr">
        <is>
          <t>div_raw</t>
        </is>
      </c>
      <c r="S2" s="40" t="inlineStr">
        <is>
          <t>div_avg3</t>
        </is>
      </c>
      <c r="T2" s="40" t="inlineStr">
        <is>
          <t>glsr_slope_5d</t>
        </is>
      </c>
      <c r="U2" s="40" t="inlineStr">
        <is>
          <t>d_pos_3d</t>
        </is>
      </c>
      <c r="V2" s="40" t="inlineStr">
        <is>
          <t>d_acc_3d</t>
        </is>
      </c>
      <c r="W2" s="40" t="inlineStr">
        <is>
          <t>signals_bullish</t>
        </is>
      </c>
      <c r="X2" s="40" t="inlineStr">
        <is>
          <t>signals_suppress</t>
        </is>
      </c>
      <c r="Y2" s="40" t="inlineStr">
        <is>
          <t>screen_rank</t>
        </is>
      </c>
      <c r="Z2" s="40" t="inlineStr">
        <is>
          <t>data_bad</t>
        </is>
      </c>
      <c r="AA2" s="41" t="inlineStr">
        <is>
          <t>spot_venue</t>
        </is>
      </c>
      <c r="AB2" s="41" t="inlineStr">
        <is>
          <t>vol_spot_usd</t>
        </is>
      </c>
      <c r="AC2" s="41" t="inlineStr">
        <is>
          <t>taker_spot_pct</t>
        </is>
      </c>
      <c r="AD2" s="41" t="inlineStr">
        <is>
          <t>depth_bid2_usd</t>
        </is>
      </c>
      <c r="AE2" s="41" t="inlineStr">
        <is>
          <t>depth_ask2_usd</t>
        </is>
      </c>
      <c r="AF2" s="41" t="inlineStr">
        <is>
          <t>bid_wall_px</t>
        </is>
      </c>
      <c r="AG2" s="41" t="inlineStr">
        <is>
          <t>bid_wall_usd</t>
        </is>
      </c>
      <c r="AH2" s="41" t="inlineStr">
        <is>
          <t>ask_wall_px</t>
        </is>
      </c>
      <c r="AI2" s="41" t="inlineStr">
        <is>
          <t>ask_wall_usd</t>
        </is>
      </c>
      <c r="AJ2" s="41" t="inlineStr">
        <is>
          <t>alpha_suspect</t>
        </is>
      </c>
      <c r="AK2" s="42" t="inlineStr">
        <is>
          <t>exch_balance_delta</t>
        </is>
      </c>
      <c r="AL2" s="42" t="inlineStr">
        <is>
          <t>wallet_activity</t>
        </is>
      </c>
      <c r="AM2" s="42" t="inlineStr">
        <is>
          <t>dominance_pct</t>
        </is>
      </c>
      <c r="AN2" s="42" t="inlineStr">
        <is>
          <t>note_operator</t>
        </is>
      </c>
      <c r="AO2" s="42" t="inlineStr">
        <is>
          <t>mm_note</t>
        </is>
      </c>
    </row>
    <row r="3" ht="15" customHeight="1" s="28">
      <c r="A3" s="43" t="inlineStr">
        <is>
          <t>2026-06-09</t>
        </is>
      </c>
      <c r="B3" s="44" t="n">
        <v>0.041833546</v>
      </c>
      <c r="C3" s="27">
        <f>IFERROR(B3/B2-1,"")</f>
        <v/>
      </c>
      <c r="D3" s="45" t="n">
        <v>670000</v>
      </c>
      <c r="E3" s="46" t="n">
        <v>0.5436</v>
      </c>
      <c r="F3" s="47" t="n">
        <v>5e-05</v>
      </c>
      <c r="G3" s="47" t="n">
        <v>5e-05</v>
      </c>
      <c r="H3" s="47" t="n">
        <v>5e-05</v>
      </c>
      <c r="I3" s="48" t="n">
        <v>1</v>
      </c>
      <c r="L3" s="45" t="n">
        <v>5100000</v>
      </c>
      <c r="O3" s="49" t="n">
        <v>3.0357</v>
      </c>
      <c r="P3" s="49" t="n">
        <v>0.9008</v>
      </c>
      <c r="Q3" s="49" t="n">
        <v>0.7645999999999999</v>
      </c>
      <c r="R3" s="50">
        <f>IFERROR(O3/P3,"")</f>
        <v/>
      </c>
      <c r="S3" s="27">
        <f>IFERROR(AVERAGE(R1:R3),"")</f>
        <v/>
      </c>
      <c r="T3" s="27">
        <f>IFERROR(Q3/Q-2,"")</f>
        <v/>
      </c>
      <c r="U3" s="27">
        <f>IFERROR(O3/O0-1,"")</f>
        <v/>
      </c>
      <c r="V3" s="27">
        <f>IFERROR(P3/P0-1,"")</f>
        <v/>
      </c>
      <c r="W3" s="51" t="n"/>
      <c r="X3" s="51" t="n"/>
      <c r="AJ3" s="46">
        <f>IF(OR(AB3="",D3="",D3=0),"",AB3/D3)</f>
        <v/>
      </c>
      <c r="AN3" s="51" t="n"/>
    </row>
    <row r="4" ht="15" customHeight="1" s="28">
      <c r="A4" s="43" t="inlineStr">
        <is>
          <t>2026-06-13</t>
        </is>
      </c>
      <c r="B4" s="44" t="n">
        <v>0.039051945</v>
      </c>
      <c r="C4" s="52">
        <f>IFERROR(B4/B3-1,"")</f>
        <v/>
      </c>
      <c r="D4" s="45" t="n">
        <v>640000</v>
      </c>
      <c r="E4" s="46" t="n"/>
      <c r="F4" s="47" t="n">
        <v>5e-05</v>
      </c>
      <c r="G4" s="47" t="n">
        <v>5e-05</v>
      </c>
      <c r="H4" s="47" t="n">
        <v>5e-05</v>
      </c>
      <c r="I4" s="48" t="n">
        <v>1</v>
      </c>
      <c r="L4" s="45" t="n">
        <v>4400000</v>
      </c>
      <c r="O4" s="49" t="n">
        <v>3.6529</v>
      </c>
      <c r="P4" s="49" t="n">
        <v>0.9516</v>
      </c>
      <c r="Q4" s="49" t="n">
        <v>0.7806</v>
      </c>
      <c r="R4" s="50">
        <f>IFERROR(O4/P4,"")</f>
        <v/>
      </c>
      <c r="S4" s="27">
        <f>IFERROR(AVERAGE(R2:R4),"")</f>
        <v/>
      </c>
      <c r="T4" s="27">
        <f>IFERROR(Q4/Q-1,"")</f>
        <v/>
      </c>
      <c r="U4" s="27">
        <f>IFERROR(O4/O1-1,"")</f>
        <v/>
      </c>
      <c r="V4" s="27">
        <f>IFERROR(P4/P1-1,"")</f>
        <v/>
      </c>
      <c r="W4" s="51" t="n"/>
      <c r="X4" s="51" t="n"/>
      <c r="AJ4" s="46">
        <f>IF(OR(AB4="",D4="",D4=0),"",AB4/D4)</f>
        <v/>
      </c>
    </row>
    <row r="5" ht="15" customHeight="1" s="28">
      <c r="A5" s="43" t="inlineStr">
        <is>
          <t>2026-06-27</t>
        </is>
      </c>
      <c r="B5" s="44" t="n">
        <v>0.037334818</v>
      </c>
      <c r="C5" s="52">
        <f>IFERROR(B5/B4-1,"")</f>
        <v/>
      </c>
      <c r="D5" s="27" t="n">
        <v>2700000</v>
      </c>
      <c r="E5" s="27" t="n">
        <v>0.4808</v>
      </c>
      <c r="F5" s="27" t="n">
        <v>5e-05</v>
      </c>
      <c r="G5" s="27" t="n">
        <v>5e-05</v>
      </c>
      <c r="H5" s="27" t="n">
        <v>5e-05</v>
      </c>
      <c r="I5" s="48" t="n">
        <v>6</v>
      </c>
      <c r="L5" s="45" t="n">
        <v>4700000</v>
      </c>
      <c r="O5" s="27" t="n">
        <v>3.778</v>
      </c>
      <c r="P5" s="27" t="n">
        <v>0.8764999999999999</v>
      </c>
      <c r="Q5" s="27" t="n">
        <v>0.6589</v>
      </c>
      <c r="R5" s="50">
        <f>IFERROR(O5/P5,"")</f>
        <v/>
      </c>
      <c r="S5" s="50">
        <f>IFERROR(AVERAGE(R3:R5),"")</f>
        <v/>
      </c>
      <c r="T5" s="27">
        <f>IFERROR(Q5/Q0,"")</f>
        <v/>
      </c>
      <c r="U5" s="27">
        <f>IFERROR(O5/O2-1,"")</f>
        <v/>
      </c>
      <c r="V5" s="27">
        <f>IFERROR(P5/P2-1,"")</f>
        <v/>
      </c>
      <c r="W5" s="51" t="n"/>
      <c r="X5" s="51" t="n"/>
      <c r="AJ5" s="46">
        <f>IF(OR(AB5="",D5="",D5=0),"",AB5/D5)</f>
        <v/>
      </c>
      <c r="AN5" s="51" t="n"/>
    </row>
    <row r="6">
      <c r="A6" s="27" t="inlineStr">
        <is>
          <t>2026-06-28</t>
        </is>
      </c>
      <c r="B6" s="27" t="n">
        <v>0.036629256</v>
      </c>
      <c r="C6" s="27">
        <f>IFERROR(B6/B5-1,"")</f>
        <v/>
      </c>
      <c r="D6" s="27" t="n">
        <v>2400000</v>
      </c>
      <c r="E6" s="27" t="n">
        <v>0.495</v>
      </c>
      <c r="F6" s="27" t="n">
        <v>8.3841667e-05</v>
      </c>
      <c r="G6" s="27" t="n">
        <v>5e-05</v>
      </c>
      <c r="H6" s="27" t="n">
        <v>0.00025305</v>
      </c>
      <c r="I6" s="27" t="n">
        <v>6</v>
      </c>
      <c r="L6" s="27" t="n">
        <v>4600000</v>
      </c>
      <c r="O6" s="27" t="n">
        <v>3.5695</v>
      </c>
      <c r="P6" s="27" t="n">
        <v>0.9001</v>
      </c>
      <c r="Q6" s="27" t="n">
        <v>0.7071</v>
      </c>
      <c r="R6" s="27">
        <f>IFERROR(O6/P6,"")</f>
        <v/>
      </c>
      <c r="S6" s="27">
        <f>IFERROR(AVERAGE(R4:R6),"")</f>
        <v/>
      </c>
      <c r="T6" s="27">
        <f>IFERROR(Q6/Q1,"")</f>
        <v/>
      </c>
      <c r="U6" s="27">
        <f>IFERROR(O6/O3-1,"")</f>
        <v/>
      </c>
      <c r="V6" s="27">
        <f>IFERROR(P6/P3-1,"")</f>
        <v/>
      </c>
      <c r="AJ6" s="27">
        <f>IF(OR(AB6="",D6="",D6=0),"",AB6/D6)</f>
        <v/>
      </c>
    </row>
    <row r="7" ht="15" customHeight="1" s="28">
      <c r="A7" s="35" t="inlineStr">
        <is>
          <t>2026-06-29</t>
        </is>
      </c>
      <c r="B7" s="27" t="n">
        <v>0.035876632</v>
      </c>
      <c r="C7" s="27">
        <f>IFERROR(B7/B6-1,"")</f>
        <v/>
      </c>
      <c r="D7" s="27" t="n">
        <v>2800000</v>
      </c>
      <c r="E7" s="27" t="n">
        <v>0.5059</v>
      </c>
      <c r="F7" s="27" t="n">
        <v>5.5305e-05</v>
      </c>
      <c r="G7" s="27" t="n">
        <v>5e-05</v>
      </c>
      <c r="H7" s="27" t="n">
        <v>8.182999999999999e-05</v>
      </c>
      <c r="I7" s="27" t="n">
        <v>6</v>
      </c>
      <c r="L7" s="27" t="n">
        <v>4500000</v>
      </c>
      <c r="O7" s="27" t="n">
        <v>3.5439</v>
      </c>
      <c r="P7" s="27" t="n">
        <v>0.8786</v>
      </c>
      <c r="Q7" s="27" t="n">
        <v>0.7479</v>
      </c>
      <c r="R7" s="27">
        <f>IFERROR(O7/P7,"")</f>
        <v/>
      </c>
      <c r="S7" s="27">
        <f>IFERROR(AVERAGE(R5:R7),"")</f>
        <v/>
      </c>
      <c r="T7" s="27">
        <f>IFERROR(Q7/Q2,"")</f>
        <v/>
      </c>
      <c r="U7" s="27">
        <f>IFERROR(O7/O4-1,"")</f>
        <v/>
      </c>
      <c r="V7" s="27">
        <f>IFERROR(P7/P4-1,"")</f>
        <v/>
      </c>
      <c r="AJ7" s="27">
        <f>IF(OR(AB7="",D7="",D7=0),"",AB7/D7)</f>
        <v/>
      </c>
    </row>
    <row r="8">
      <c r="A8" s="27" t="inlineStr">
        <is>
          <t>2026-06-30</t>
        </is>
      </c>
      <c r="B8" s="27" t="n">
        <v>0.036271696</v>
      </c>
      <c r="C8" s="27">
        <f>IFERROR(B8/B7-1,"")</f>
        <v/>
      </c>
      <c r="D8" s="27" t="n">
        <v>6000000</v>
      </c>
      <c r="E8" s="27" t="n">
        <v>0.4452</v>
      </c>
      <c r="F8" s="27" t="n">
        <v>5e-05</v>
      </c>
      <c r="G8" s="27" t="n">
        <v>5e-05</v>
      </c>
      <c r="H8" s="27" t="n">
        <v>5e-05</v>
      </c>
      <c r="I8" s="27" t="n">
        <v>6</v>
      </c>
      <c r="L8" s="27" t="n">
        <v>4400000</v>
      </c>
      <c r="O8" s="27" t="n">
        <v>3.5171</v>
      </c>
      <c r="P8" s="27" t="n">
        <v>0.9569</v>
      </c>
      <c r="Q8" s="27" t="n">
        <v>0.8025</v>
      </c>
      <c r="R8" s="27">
        <f>IFERROR(O8/P8,"")</f>
        <v/>
      </c>
      <c r="S8" s="27">
        <f>IFERROR(AVERAGE(R6:R8),"")</f>
        <v/>
      </c>
      <c r="T8" s="27">
        <f>IFERROR(Q8/Q3,"")</f>
        <v/>
      </c>
      <c r="U8" s="27">
        <f>IFERROR(O8/O5-1,"")</f>
        <v/>
      </c>
      <c r="V8" s="27">
        <f>IFERROR(P8/P5-1,"")</f>
        <v/>
      </c>
      <c r="AJ8" s="27">
        <f>IF(OR(AB8="",D8="",D8=0),"",AB8/D8)</f>
        <v/>
      </c>
    </row>
    <row r="9">
      <c r="A9" s="27" t="inlineStr">
        <is>
          <t>2026-07-01</t>
        </is>
      </c>
      <c r="B9" s="27" t="n">
        <v>0.036327893</v>
      </c>
      <c r="C9" s="27">
        <f>IFERROR(B9/B8-1,"")</f>
        <v/>
      </c>
      <c r="D9" s="27" t="n">
        <v>3800000</v>
      </c>
      <c r="E9" s="27" t="n">
        <v>0.5228</v>
      </c>
      <c r="F9" s="27" t="n">
        <v>5.0423333e-05</v>
      </c>
      <c r="G9" s="27" t="n">
        <v>5e-05</v>
      </c>
      <c r="H9" s="27" t="n">
        <v>5.254e-05</v>
      </c>
      <c r="I9" s="27" t="n">
        <v>6</v>
      </c>
      <c r="L9" s="27" t="n">
        <v>4500000</v>
      </c>
      <c r="O9" s="27" t="n">
        <v>3.4513</v>
      </c>
      <c r="P9" s="27" t="n">
        <v>0.8706</v>
      </c>
      <c r="Q9" s="27" t="n">
        <v>0.7232</v>
      </c>
      <c r="R9" s="27">
        <f>IFERROR(O9/P9,"")</f>
        <v/>
      </c>
      <c r="S9" s="27">
        <f>IFERROR(AVERAGE(R7:R9),"")</f>
        <v/>
      </c>
      <c r="T9" s="27">
        <f>IFERROR(Q9/Q4,"")</f>
        <v/>
      </c>
      <c r="U9" s="27">
        <f>IFERROR(O9/O6-1,"")</f>
        <v/>
      </c>
      <c r="V9" s="27">
        <f>IFERROR(P9/P6-1,"")</f>
        <v/>
      </c>
      <c r="AA9" s="27" t="inlineStr">
        <is>
          <t>Binance_spot</t>
        </is>
      </c>
      <c r="AB9" s="56" t="n">
        <v>286000</v>
      </c>
      <c r="AC9" s="57" t="n">
        <v>0.67</v>
      </c>
      <c r="AJ9" s="27">
        <f>IF(OR(AB9="",D9="",D9=0),"",AB9/D9)</f>
        <v/>
      </c>
    </row>
    <row r="10">
      <c r="A10" s="27" t="inlineStr">
        <is>
          <t>2026-07-02</t>
        </is>
      </c>
      <c r="B10" s="27" t="n">
        <v>0.038583119</v>
      </c>
      <c r="C10" s="27">
        <f>IFERROR(B10/B9-1,"")</f>
        <v/>
      </c>
      <c r="D10" s="27" t="n">
        <v>49000000</v>
      </c>
      <c r="E10" s="27" t="n">
        <v>0.4807</v>
      </c>
      <c r="F10" s="27" t="n">
        <v>0.00010747667</v>
      </c>
      <c r="G10" s="27" t="n">
        <v>5e-05</v>
      </c>
      <c r="H10" s="27" t="n">
        <v>0.00020904</v>
      </c>
      <c r="I10" s="27" t="n">
        <v>6</v>
      </c>
      <c r="L10" s="27" t="n">
        <v>4500000</v>
      </c>
      <c r="O10" s="27" t="n">
        <v>3.5677</v>
      </c>
      <c r="P10" s="27" t="n">
        <v>0.9881</v>
      </c>
      <c r="Q10" s="27" t="n">
        <v>0.7947</v>
      </c>
      <c r="R10" s="27">
        <f>IFERROR(O10/P10,"")</f>
        <v/>
      </c>
      <c r="S10" s="27">
        <f>IFERROR(AVERAGE(R8:R10),"")</f>
        <v/>
      </c>
      <c r="T10" s="27">
        <f>IFERROR(Q10/Q5,"")</f>
        <v/>
      </c>
      <c r="U10" s="27">
        <f>IFERROR(O10/O7-1,"")</f>
        <v/>
      </c>
      <c r="V10" s="27">
        <f>IFERROR(P10/P7-1,"")</f>
        <v/>
      </c>
      <c r="AA10" s="27" t="inlineStr">
        <is>
          <t>Binance_spot</t>
        </is>
      </c>
      <c r="AB10" s="56" t="n">
        <v>3750000</v>
      </c>
      <c r="AC10" s="57" t="n">
        <v>0.512</v>
      </c>
      <c r="AJ10" s="27">
        <f>IF(OR(AB10="",D10="",D10=0),"",AB10/D10)</f>
        <v/>
      </c>
    </row>
    <row r="11">
      <c r="A11" s="27" t="inlineStr">
        <is>
          <t>2026-07-03</t>
        </is>
      </c>
      <c r="B11" s="27" t="n">
        <v>0.037317882</v>
      </c>
      <c r="C11" s="27">
        <f>IFERROR(B11/B10-1,"")</f>
        <v/>
      </c>
      <c r="D11" s="27" t="n">
        <v>7500000</v>
      </c>
      <c r="E11" s="27" t="n">
        <v>0.4561</v>
      </c>
      <c r="F11" s="27" t="n">
        <v>6.4706667e-05</v>
      </c>
      <c r="G11" s="27" t="n">
        <v>5e-05</v>
      </c>
      <c r="H11" s="27" t="n">
        <v>0.00010505</v>
      </c>
      <c r="I11" s="27" t="n">
        <v>6</v>
      </c>
      <c r="L11" s="27" t="n">
        <v>4600000</v>
      </c>
      <c r="O11" s="27" t="n">
        <v>2.9112</v>
      </c>
      <c r="P11" s="27" t="n">
        <v>0.679</v>
      </c>
      <c r="Q11" s="27" t="n">
        <v>0.4712</v>
      </c>
      <c r="R11" s="27">
        <f>IFERROR(O11/P11,"")</f>
        <v/>
      </c>
      <c r="S11" s="27">
        <f>IFERROR(AVERAGE(R9:R11),"")</f>
        <v/>
      </c>
      <c r="T11" s="27">
        <f>IFERROR(Q11/Q6,"")</f>
        <v/>
      </c>
      <c r="U11" s="27">
        <f>IFERROR(O11/O8-1,"")</f>
        <v/>
      </c>
      <c r="V11" s="27">
        <f>IFERROR(P11/P8-1,"")</f>
        <v/>
      </c>
      <c r="AA11" s="27" t="inlineStr">
        <is>
          <t>Binance_spot</t>
        </is>
      </c>
      <c r="AB11" s="56" t="n">
        <v>397000</v>
      </c>
      <c r="AC11" s="57" t="n">
        <v>0.363</v>
      </c>
      <c r="AJ11" s="27">
        <f>IF(OR(AB11="",D11="",D11=0),"",AB11/D11)</f>
        <v/>
      </c>
    </row>
    <row r="12">
      <c r="A12" s="27" t="inlineStr">
        <is>
          <t>2026-07-04</t>
        </is>
      </c>
      <c r="B12" s="27" t="n">
        <v>0.037265172</v>
      </c>
      <c r="C12" s="27">
        <f>IFERROR(B12/B11-1,"")</f>
        <v/>
      </c>
      <c r="D12" s="27" t="n">
        <v>5200000</v>
      </c>
      <c r="E12" s="27" t="n">
        <v>0.4699</v>
      </c>
      <c r="F12" s="27" t="n">
        <v>5e-05</v>
      </c>
      <c r="G12" s="27" t="n">
        <v>5e-05</v>
      </c>
      <c r="H12" s="27" t="n">
        <v>5e-05</v>
      </c>
      <c r="I12" s="27" t="n">
        <v>6</v>
      </c>
      <c r="L12" s="27" t="n">
        <v>4700000</v>
      </c>
      <c r="O12" s="27" t="n">
        <v>2.9721</v>
      </c>
      <c r="P12" s="27" t="n">
        <v>0.6361</v>
      </c>
      <c r="Q12" s="27" t="n">
        <v>0.4337</v>
      </c>
      <c r="R12" s="27">
        <f>IFERROR(O12/P12,"")</f>
        <v/>
      </c>
      <c r="S12" s="27">
        <f>IFERROR(AVERAGE(R10:R12),"")</f>
        <v/>
      </c>
      <c r="T12" s="27">
        <f>IFERROR(Q12/Q7,"")</f>
        <v/>
      </c>
      <c r="U12" s="27">
        <f>IFERROR(O12/O9-1,"")</f>
        <v/>
      </c>
      <c r="V12" s="27">
        <f>IFERROR(P12/P9-1,"")</f>
        <v/>
      </c>
      <c r="AA12" s="27" t="inlineStr">
        <is>
          <t>Binance_spot</t>
        </is>
      </c>
      <c r="AB12" s="56" t="n">
        <v>203000</v>
      </c>
      <c r="AC12" s="57" t="n">
        <v>0.376</v>
      </c>
      <c r="AJ12" s="27">
        <f>IF(OR(AB12="",D12="",D12=0),"",AB12/D12)</f>
        <v/>
      </c>
    </row>
    <row r="13">
      <c r="A13" s="27" t="inlineStr">
        <is>
          <t>2026-07-05</t>
        </is>
      </c>
      <c r="B13" s="27" t="n">
        <v>0.0374424</v>
      </c>
      <c r="C13" s="27">
        <f>IFERROR(B13/B12-1,"")</f>
        <v/>
      </c>
      <c r="D13" s="27" t="n">
        <v>4000000</v>
      </c>
      <c r="E13" s="27" t="n">
        <v>0.4971</v>
      </c>
      <c r="F13" s="27" t="n">
        <v>5e-05</v>
      </c>
      <c r="G13" s="27" t="n">
        <v>5e-05</v>
      </c>
      <c r="H13" s="27" t="n">
        <v>5e-05</v>
      </c>
      <c r="I13" s="27" t="n">
        <v>6</v>
      </c>
      <c r="L13" s="27" t="n">
        <v>4700000</v>
      </c>
      <c r="O13" s="27" t="n">
        <v>3.0138</v>
      </c>
      <c r="P13" s="27" t="n">
        <v>0.6581</v>
      </c>
      <c r="Q13" s="27" t="n">
        <v>0.4526</v>
      </c>
      <c r="R13" s="27">
        <f>IFERROR(O13/P13,"")</f>
        <v/>
      </c>
      <c r="S13" s="27">
        <f>IFERROR(AVERAGE(R11:R13),"")</f>
        <v/>
      </c>
      <c r="T13" s="27">
        <f>IFERROR(Q13/Q8,"")</f>
        <v/>
      </c>
      <c r="U13" s="27">
        <f>IFERROR(O13/O10-1,"")</f>
        <v/>
      </c>
      <c r="V13" s="27">
        <f>IFERROR(P13/P10-1,"")</f>
        <v/>
      </c>
      <c r="AA13" s="27" t="inlineStr">
        <is>
          <t>Binance_spot</t>
        </is>
      </c>
      <c r="AB13" s="56" t="n">
        <v>243000</v>
      </c>
      <c r="AC13" s="57" t="n">
        <v>0.527</v>
      </c>
      <c r="AJ13" s="27">
        <f>IF(OR(AB13="",D13="",D13=0),"",AB13/D13)</f>
        <v/>
      </c>
    </row>
    <row r="14">
      <c r="A14" s="27" t="inlineStr">
        <is>
          <t>2026-07-06</t>
        </is>
      </c>
      <c r="B14" s="27" t="n">
        <v>0.036042854</v>
      </c>
      <c r="C14" s="27">
        <f>IFERROR(B14/B13-1,"")</f>
        <v/>
      </c>
      <c r="D14" s="27" t="n">
        <v>4400000</v>
      </c>
      <c r="E14" s="27" t="n">
        <v>0.4848</v>
      </c>
      <c r="F14" s="27" t="n">
        <v>5e-05</v>
      </c>
      <c r="G14" s="27" t="n">
        <v>5e-05</v>
      </c>
      <c r="H14" s="27" t="n">
        <v>5e-05</v>
      </c>
      <c r="I14" s="27" t="n">
        <v>6</v>
      </c>
      <c r="L14" s="27" t="n">
        <v>4600000</v>
      </c>
      <c r="O14" s="27" t="n">
        <v>3.091</v>
      </c>
      <c r="P14" s="27" t="n">
        <v>0.6469</v>
      </c>
      <c r="Q14" s="27" t="n">
        <v>0.4529</v>
      </c>
      <c r="R14" s="27">
        <f>IFERROR(O14/P14,"")</f>
        <v/>
      </c>
      <c r="S14" s="27">
        <f>IFERROR(AVERAGE(R12:R14),"")</f>
        <v/>
      </c>
      <c r="T14" s="27">
        <f>IFERROR(Q14/Q9,"")</f>
        <v/>
      </c>
      <c r="U14" s="27">
        <f>IFERROR(O14/O11-1,"")</f>
        <v/>
      </c>
      <c r="V14" s="27">
        <f>IFERROR(P14/P11-1,"")</f>
        <v/>
      </c>
      <c r="AA14" s="27" t="inlineStr">
        <is>
          <t>Binance_spot</t>
        </is>
      </c>
      <c r="AB14" s="56" t="n">
        <v>230000</v>
      </c>
      <c r="AC14" s="57" t="n">
        <v>0.507</v>
      </c>
      <c r="AJ14" s="27">
        <f>IF(OR(AB14="",D14="",D14=0),"",AB14/D14)</f>
        <v/>
      </c>
    </row>
    <row r="15">
      <c r="A15" s="27" t="inlineStr">
        <is>
          <t>2026-07-07</t>
        </is>
      </c>
      <c r="B15" s="27" t="n">
        <v>0.035353279</v>
      </c>
      <c r="C15" s="27">
        <f>IFERROR(B15/B14-1,"")</f>
        <v/>
      </c>
      <c r="D15" s="27" t="n">
        <v>6100000</v>
      </c>
      <c r="E15" s="27" t="n">
        <v>0.5229</v>
      </c>
      <c r="F15" s="27" t="n">
        <v>5e-05</v>
      </c>
      <c r="G15" s="27" t="n">
        <v>5e-05</v>
      </c>
      <c r="H15" s="27" t="n">
        <v>5e-05</v>
      </c>
      <c r="I15" s="27" t="n">
        <v>6</v>
      </c>
      <c r="L15" s="27" t="n">
        <v>4500000</v>
      </c>
      <c r="O15" s="27" t="n">
        <v>3.2233</v>
      </c>
      <c r="P15" s="27" t="n">
        <v>0.665</v>
      </c>
      <c r="Q15" s="27" t="n">
        <v>0.4575</v>
      </c>
      <c r="R15" s="27">
        <f>IFERROR(O15/P15,"")</f>
        <v/>
      </c>
      <c r="S15" s="27">
        <f>IFERROR(AVERAGE(R13:R15),"")</f>
        <v/>
      </c>
      <c r="T15" s="27">
        <f>IFERROR(Q15/Q10,"")</f>
        <v/>
      </c>
      <c r="U15" s="27">
        <f>IFERROR(O15/O12-1,"")</f>
        <v/>
      </c>
      <c r="V15" s="27">
        <f>IFERROR(P15/P12-1,"")</f>
        <v/>
      </c>
      <c r="AA15" s="27" t="inlineStr">
        <is>
          <t>Binance_spot</t>
        </is>
      </c>
      <c r="AB15" s="56" t="n">
        <v>491000</v>
      </c>
      <c r="AC15" s="57" t="n">
        <v>0.455</v>
      </c>
      <c r="AJ15" s="27">
        <f>IF(OR(AB15="",D15="",D15=0),"",AB15/D15)</f>
        <v/>
      </c>
    </row>
    <row r="16">
      <c r="A16" s="27" t="inlineStr">
        <is>
          <t>2026-07-08</t>
        </is>
      </c>
      <c r="B16" s="27" t="n">
        <v>0.035939983</v>
      </c>
      <c r="C16" s="27">
        <f>IFERROR(B16/B15-1,"")</f>
        <v/>
      </c>
      <c r="D16" s="27" t="n">
        <v>5900000</v>
      </c>
      <c r="E16" s="27" t="n">
        <v>0.5105</v>
      </c>
      <c r="F16" s="27" t="n">
        <v>5e-05</v>
      </c>
      <c r="G16" s="27" t="n">
        <v>5e-05</v>
      </c>
      <c r="H16" s="27" t="n">
        <v>5e-05</v>
      </c>
      <c r="I16" s="27" t="n">
        <v>6</v>
      </c>
      <c r="L16" s="27" t="n">
        <v>4600000</v>
      </c>
      <c r="O16" s="27" t="n">
        <v>3.511</v>
      </c>
      <c r="P16" s="27" t="n">
        <v>0.6739000000000001</v>
      </c>
      <c r="Q16" s="27" t="n">
        <v>0.4424</v>
      </c>
      <c r="R16" s="27">
        <f>IFERROR(O16/P16,"")</f>
        <v/>
      </c>
      <c r="S16" s="27">
        <f>IFERROR(AVERAGE(R14:R16),"")</f>
        <v/>
      </c>
      <c r="T16" s="27">
        <f>IFERROR(Q16/Q11,"")</f>
        <v/>
      </c>
      <c r="U16" s="27">
        <f>IFERROR(O16/O13-1,"")</f>
        <v/>
      </c>
      <c r="V16" s="27">
        <f>IFERROR(P16/P13-1,"")</f>
        <v/>
      </c>
      <c r="AA16" s="27" t="inlineStr">
        <is>
          <t>Binance_spot</t>
        </is>
      </c>
      <c r="AB16" s="56" t="n">
        <v>530000</v>
      </c>
      <c r="AC16" s="57" t="n">
        <v>0.543</v>
      </c>
      <c r="AJ16" s="27">
        <f>IF(OR(AB16="",D16="",D16=0),"",AB16/D16)</f>
        <v/>
      </c>
    </row>
    <row r="17">
      <c r="A17" s="27" t="inlineStr">
        <is>
          <t>2026-07-09</t>
        </is>
      </c>
      <c r="B17" s="27" t="n">
        <v>0.035326088</v>
      </c>
      <c r="C17" s="27">
        <f>IFERROR(B17/B16-1,"")</f>
        <v/>
      </c>
      <c r="D17" s="27" t="n">
        <v>2600000</v>
      </c>
      <c r="E17" s="27" t="n">
        <v>0.5034</v>
      </c>
      <c r="F17" s="27" t="n">
        <v>5e-05</v>
      </c>
      <c r="G17" s="27" t="n">
        <v>5e-05</v>
      </c>
      <c r="H17" s="27" t="n">
        <v>5e-05</v>
      </c>
      <c r="I17" s="27" t="n">
        <v>6</v>
      </c>
      <c r="L17" s="27" t="n">
        <v>4300000</v>
      </c>
      <c r="O17" s="27" t="n">
        <v>3.5794</v>
      </c>
      <c r="P17" s="27" t="n">
        <v>0.6731</v>
      </c>
      <c r="Q17" s="27" t="n">
        <v>0.4453</v>
      </c>
      <c r="R17" s="27">
        <f>IFERROR(O17/P17,"")</f>
        <v/>
      </c>
      <c r="S17" s="27">
        <f>IFERROR(AVERAGE(R15:R17),"")</f>
        <v/>
      </c>
      <c r="T17" s="27">
        <f>IFERROR(Q17/Q12,"")</f>
        <v/>
      </c>
      <c r="U17" s="27">
        <f>IFERROR(O17/O14-1,"")</f>
        <v/>
      </c>
      <c r="V17" s="27">
        <f>IFERROR(P17/P14-1,"")</f>
        <v/>
      </c>
      <c r="AA17" s="27" t="inlineStr">
        <is>
          <t>Binance_spot</t>
        </is>
      </c>
      <c r="AB17" s="56" t="n">
        <v>131000</v>
      </c>
      <c r="AC17" s="57" t="n">
        <v>0.426</v>
      </c>
      <c r="AJ17" s="27">
        <f>IF(OR(AB17="",D17="",D17=0),"",AB17/D17)</f>
        <v/>
      </c>
    </row>
    <row r="18">
      <c r="A18" s="27" t="inlineStr">
        <is>
          <t>2026-07-10</t>
        </is>
      </c>
      <c r="B18" s="27" t="n">
        <v>0.037732042</v>
      </c>
      <c r="C18" s="27">
        <f>IFERROR(B18/B17-1,"")</f>
        <v/>
      </c>
      <c r="D18" s="27" t="n">
        <v>12000000</v>
      </c>
      <c r="E18" s="27" t="n">
        <v>0.4869</v>
      </c>
      <c r="F18" s="27" t="n">
        <v>5e-05</v>
      </c>
      <c r="G18" s="27" t="n">
        <v>5e-05</v>
      </c>
      <c r="H18" s="27" t="n">
        <v>5e-05</v>
      </c>
      <c r="I18" s="27" t="n">
        <v>6</v>
      </c>
      <c r="L18" s="27" t="n">
        <v>4500000</v>
      </c>
      <c r="O18" s="27" t="n">
        <v>3.7215</v>
      </c>
      <c r="P18" s="27" t="n">
        <v>0.6753</v>
      </c>
      <c r="Q18" s="27" t="n">
        <v>0.4449</v>
      </c>
      <c r="R18" s="27">
        <f>IFERROR(O18/P18,"")</f>
        <v/>
      </c>
      <c r="S18" s="27">
        <f>IFERROR(AVERAGE(R16:R18),"")</f>
        <v/>
      </c>
      <c r="T18" s="27">
        <f>IFERROR(Q18/Q13,"")</f>
        <v/>
      </c>
      <c r="U18" s="27">
        <f>IFERROR(O18/O15-1,"")</f>
        <v/>
      </c>
      <c r="V18" s="27">
        <f>IFERROR(P18/P15-1,"")</f>
        <v/>
      </c>
      <c r="AA18" s="27" t="inlineStr">
        <is>
          <t>Binance_spot</t>
        </is>
      </c>
      <c r="AB18" s="56" t="n">
        <v>675000</v>
      </c>
      <c r="AC18" s="57" t="n">
        <v>0.433</v>
      </c>
      <c r="AJ18" s="27">
        <f>IF(OR(AB18="",D18="",D18=0),"",AB18/D18)</f>
        <v/>
      </c>
    </row>
    <row r="19">
      <c r="A19" s="27" t="inlineStr">
        <is>
          <t>2026-07-11</t>
        </is>
      </c>
      <c r="B19" s="27" t="n">
        <v>0.04177344</v>
      </c>
      <c r="C19" s="27">
        <f>IFERROR(B19/B18-1,"")</f>
        <v/>
      </c>
      <c r="D19" s="27" t="n">
        <v>60000000</v>
      </c>
      <c r="E19" s="27" t="n">
        <v>0.4862</v>
      </c>
      <c r="F19" s="27" t="n">
        <v>8.3426667e-05</v>
      </c>
      <c r="G19" s="27" t="n">
        <v>5e-05</v>
      </c>
      <c r="H19" s="27" t="n">
        <v>0.00025056</v>
      </c>
      <c r="I19" s="27" t="n">
        <v>6</v>
      </c>
      <c r="L19" s="27" t="n">
        <v>4800000</v>
      </c>
      <c r="O19" s="27" t="n">
        <v>3.8142</v>
      </c>
      <c r="P19" s="27" t="n">
        <v>0.7813</v>
      </c>
      <c r="Q19" s="27" t="n">
        <v>0.4941</v>
      </c>
      <c r="R19" s="27">
        <f>IFERROR(O19/P19,"")</f>
        <v/>
      </c>
      <c r="S19" s="27">
        <f>IFERROR(AVERAGE(R17:R19),"")</f>
        <v/>
      </c>
      <c r="T19" s="27">
        <f>IFERROR(Q19/Q14,"")</f>
        <v/>
      </c>
      <c r="U19" s="27">
        <f>IFERROR(O19/O16-1,"")</f>
        <v/>
      </c>
      <c r="V19" s="27">
        <f>IFERROR(P19/P16-1,"")</f>
        <v/>
      </c>
      <c r="AA19" s="27" t="inlineStr">
        <is>
          <t>Binance_spot</t>
        </is>
      </c>
      <c r="AB19" s="56" t="n">
        <v>2440000</v>
      </c>
      <c r="AC19" s="57" t="n">
        <v>0.477</v>
      </c>
      <c r="AJ19" s="27">
        <f>IF(OR(AB19="",D19="",D19=0),"",AB19/D19)</f>
        <v/>
      </c>
    </row>
    <row r="20">
      <c r="A20" s="27" t="inlineStr">
        <is>
          <t>2026-07-12</t>
        </is>
      </c>
      <c r="B20" s="27" t="n">
        <v>0.041313538</v>
      </c>
      <c r="C20" s="27">
        <f>IFERROR(B20/B19-1,"")</f>
        <v/>
      </c>
      <c r="D20" s="27" t="n">
        <v>59000000</v>
      </c>
      <c r="E20" s="27" t="n">
        <v>0.4859</v>
      </c>
      <c r="F20" s="27" t="n">
        <v>8.720833299999999e-05</v>
      </c>
      <c r="G20" s="27" t="n">
        <v>5e-05</v>
      </c>
      <c r="H20" s="27" t="n">
        <v>0.000176</v>
      </c>
      <c r="I20" s="27" t="n">
        <v>6</v>
      </c>
      <c r="L20" s="27" t="n">
        <v>5800000</v>
      </c>
      <c r="O20" s="27" t="n">
        <v>2.9738</v>
      </c>
      <c r="P20" s="27" t="n">
        <v>0.6617</v>
      </c>
      <c r="Q20" s="27" t="n">
        <v>0.4773</v>
      </c>
      <c r="R20" s="27">
        <f>IFERROR(O20/P20,"")</f>
        <v/>
      </c>
      <c r="S20" s="27">
        <f>IFERROR(AVERAGE(R18:R20),"")</f>
        <v/>
      </c>
      <c r="T20" s="27">
        <f>IFERROR(Q20/Q15,"")</f>
        <v/>
      </c>
      <c r="U20" s="27">
        <f>IFERROR(O20/O17-1,"")</f>
        <v/>
      </c>
      <c r="V20" s="27">
        <f>IFERROR(P20/P17-1,"")</f>
        <v/>
      </c>
      <c r="AA20" s="27" t="inlineStr">
        <is>
          <t>Binance_spot</t>
        </is>
      </c>
      <c r="AB20" s="56" t="n">
        <v>1610000</v>
      </c>
      <c r="AC20" s="57" t="n">
        <v>0.437</v>
      </c>
      <c r="AJ20" s="27">
        <f>IF(OR(AB20="",D20="",D20=0),"",AB20/D20)</f>
        <v/>
      </c>
    </row>
    <row r="21">
      <c r="A21" s="27" t="inlineStr">
        <is>
          <t>2026-07-13</t>
        </is>
      </c>
      <c r="B21" s="27" t="n">
        <v>0.041629482</v>
      </c>
      <c r="C21" s="27">
        <f>IFERROR(B21/B20-1,"")</f>
        <v/>
      </c>
      <c r="D21" s="27" t="n">
        <v>15000000</v>
      </c>
      <c r="E21" s="27" t="n">
        <v>0.4645</v>
      </c>
      <c r="F21" s="27" t="n">
        <v>8.132e-05</v>
      </c>
      <c r="G21" s="27" t="n">
        <v>5e-05</v>
      </c>
      <c r="H21" s="27" t="n">
        <v>0.0001665</v>
      </c>
      <c r="I21" s="27" t="n">
        <v>6</v>
      </c>
      <c r="L21" s="27" t="n">
        <v>5800000</v>
      </c>
      <c r="O21" s="27" t="n">
        <v>2.7635</v>
      </c>
      <c r="P21" s="27" t="n">
        <v>0.6592</v>
      </c>
      <c r="Q21" s="27" t="n">
        <v>0.4824</v>
      </c>
      <c r="R21" s="27">
        <f>IFERROR(O21/P21,"")</f>
        <v/>
      </c>
      <c r="S21" s="27">
        <f>IFERROR(AVERAGE(R19:R21),"")</f>
        <v/>
      </c>
      <c r="T21" s="27">
        <f>IFERROR(Q21/Q16,"")</f>
        <v/>
      </c>
      <c r="U21" s="27">
        <f>IFERROR(O21/O18-1,"")</f>
        <v/>
      </c>
      <c r="V21" s="27">
        <f>IFERROR(P21/P18-1,"")</f>
        <v/>
      </c>
      <c r="AA21" s="27" t="inlineStr">
        <is>
          <t>Binance_spot</t>
        </is>
      </c>
      <c r="AB21" s="56" t="n">
        <v>573000</v>
      </c>
      <c r="AC21" s="57" t="n">
        <v>0.491</v>
      </c>
      <c r="AJ21" s="27">
        <f>IF(OR(AB21="",D21="",D21=0),"",AB21/D21)</f>
        <v/>
      </c>
    </row>
    <row r="22">
      <c r="A22" s="27" t="inlineStr">
        <is>
          <t>2026-07-14</t>
        </is>
      </c>
      <c r="B22" s="27" t="n">
        <v>0.043054506</v>
      </c>
      <c r="C22" s="27">
        <f>IFERROR(B22/B21-1,"")</f>
        <v/>
      </c>
      <c r="D22" s="27" t="n">
        <v>11000000</v>
      </c>
      <c r="E22" s="27" t="n">
        <v>0.5265</v>
      </c>
      <c r="F22" s="27" t="n">
        <v>7.4241667e-05</v>
      </c>
      <c r="G22" s="27" t="n">
        <v>5e-05</v>
      </c>
      <c r="H22" s="27" t="n">
        <v>0.0001252</v>
      </c>
      <c r="I22" s="27" t="n">
        <v>6</v>
      </c>
      <c r="L22" s="27" t="n">
        <v>6000000</v>
      </c>
      <c r="O22" s="27" t="n">
        <v>2.7016</v>
      </c>
      <c r="P22" s="27" t="n">
        <v>0.6304999999999999</v>
      </c>
      <c r="Q22" s="27" t="n">
        <v>0.4706</v>
      </c>
      <c r="R22" s="27">
        <f>IFERROR(O22/P22,"")</f>
        <v/>
      </c>
      <c r="S22" s="27">
        <f>IFERROR(AVERAGE(R20:R22),"")</f>
        <v/>
      </c>
      <c r="T22" s="27">
        <f>IFERROR(Q22/Q17,"")</f>
        <v/>
      </c>
      <c r="U22" s="27">
        <f>IFERROR(O22/O19-1,"")</f>
        <v/>
      </c>
      <c r="V22" s="27">
        <f>IFERROR(P22/P19-1,"")</f>
        <v/>
      </c>
      <c r="AA22" s="27" t="inlineStr">
        <is>
          <t>Binance_spot</t>
        </is>
      </c>
      <c r="AB22" s="56" t="n">
        <v>459000</v>
      </c>
      <c r="AC22" s="57" t="n">
        <v>0.605</v>
      </c>
      <c r="AJ22" s="27">
        <f>IF(OR(AB22="",D22="",D22=0),"",AB22/D22)</f>
        <v/>
      </c>
    </row>
    <row r="23">
      <c r="A23" s="27" t="inlineStr">
        <is>
          <t>2026-07-15</t>
        </is>
      </c>
      <c r="B23" s="27" t="n">
        <v>0.051320417</v>
      </c>
      <c r="C23" s="27">
        <f>IFERROR(B23/B22-1,"")</f>
        <v/>
      </c>
      <c r="D23" s="27" t="n">
        <v>150000000</v>
      </c>
      <c r="E23" s="27" t="n">
        <v>0.5038</v>
      </c>
      <c r="F23" s="27" t="n">
        <v>9.183833299999999e-05</v>
      </c>
      <c r="G23" s="27" t="n">
        <v>5e-05</v>
      </c>
      <c r="H23" s="27" t="n">
        <v>0.00027379</v>
      </c>
      <c r="I23" s="27" t="n">
        <v>6</v>
      </c>
      <c r="L23" s="27" t="n">
        <v>6000000</v>
      </c>
      <c r="O23" s="27" t="n">
        <v>2.8641</v>
      </c>
      <c r="P23" s="27" t="n">
        <v>0.6095</v>
      </c>
      <c r="Q23" s="27" t="n">
        <v>0.4459</v>
      </c>
      <c r="R23" s="27">
        <f>IFERROR(O23/P23,"")</f>
        <v/>
      </c>
      <c r="S23" s="27">
        <f>IFERROR(AVERAGE(R21:R23),"")</f>
        <v/>
      </c>
      <c r="T23" s="27">
        <f>IFERROR(Q23/Q18,"")</f>
        <v/>
      </c>
      <c r="U23" s="27">
        <f>IFERROR(O23/O20-1,"")</f>
        <v/>
      </c>
      <c r="V23" s="27">
        <f>IFERROR(P23/P20-1,"")</f>
        <v/>
      </c>
      <c r="AA23" s="27" t="inlineStr">
        <is>
          <t>Binance_spot</t>
        </is>
      </c>
      <c r="AB23" s="56" t="n">
        <v>2460000</v>
      </c>
      <c r="AC23" s="57" t="n">
        <v>0.53</v>
      </c>
      <c r="AJ23" s="27">
        <f>IF(OR(AB23="",D23="",D23=0),"",AB23/D23)</f>
        <v/>
      </c>
    </row>
    <row r="24">
      <c r="A24" s="27" t="inlineStr">
        <is>
          <t>2026-07-16</t>
        </is>
      </c>
      <c r="B24" s="27" t="n">
        <v>0.058786904</v>
      </c>
      <c r="C24" s="27">
        <f>IFERROR(B24/B23-1,"")</f>
        <v/>
      </c>
      <c r="D24" s="27" t="n">
        <v>590000000</v>
      </c>
      <c r="E24" s="27" t="n">
        <v>0.5178</v>
      </c>
      <c r="F24" s="27" t="n">
        <v>7.3373333e-05</v>
      </c>
      <c r="G24" s="27" t="n">
        <v>5e-05</v>
      </c>
      <c r="H24" s="27" t="n">
        <v>0.000128</v>
      </c>
      <c r="I24" s="27" t="n">
        <v>6</v>
      </c>
      <c r="L24" s="27" t="n">
        <v>8800000</v>
      </c>
      <c r="O24" s="27" t="n">
        <v>2.0207</v>
      </c>
      <c r="P24" s="27" t="n">
        <v>0.6493</v>
      </c>
      <c r="Q24" s="27" t="n">
        <v>0.6152</v>
      </c>
      <c r="R24" s="27">
        <f>IFERROR(O24/P24,"")</f>
        <v/>
      </c>
      <c r="S24" s="27">
        <f>IFERROR(AVERAGE(R22:R24),"")</f>
        <v/>
      </c>
      <c r="T24" s="27">
        <f>IFERROR(Q24/Q19,"")</f>
        <v/>
      </c>
      <c r="U24" s="27">
        <f>IFERROR(O24/O21-1,"")</f>
        <v/>
      </c>
      <c r="V24" s="27">
        <f>IFERROR(P24/P21-1,"")</f>
        <v/>
      </c>
      <c r="AA24" s="27" t="inlineStr">
        <is>
          <t>Binance_spot</t>
        </is>
      </c>
      <c r="AB24" s="56" t="n">
        <v>6400000</v>
      </c>
      <c r="AC24" s="57" t="n">
        <v>0.518</v>
      </c>
      <c r="AJ24" s="27">
        <f>IF(OR(AB24="",D24="",D24=0),"",AB24/D24)</f>
        <v/>
      </c>
    </row>
    <row r="25">
      <c r="A25" s="27" t="inlineStr">
        <is>
          <t>2026-07-17</t>
        </is>
      </c>
      <c r="B25" s="27" t="n">
        <v>0.068170362</v>
      </c>
      <c r="C25" s="27">
        <f>IFERROR(B25/B24-1,"")</f>
        <v/>
      </c>
      <c r="D25" s="27" t="n">
        <v>1700000000</v>
      </c>
      <c r="E25" s="27" t="n">
        <v>0.5117</v>
      </c>
      <c r="F25" s="27" t="n">
        <v>5e-05</v>
      </c>
      <c r="G25" s="27" t="n">
        <v>5e-05</v>
      </c>
      <c r="H25" s="27" t="n">
        <v>5e-05</v>
      </c>
      <c r="I25" s="27" t="n">
        <v>6</v>
      </c>
      <c r="L25" s="27" t="n">
        <v>15000000</v>
      </c>
      <c r="O25" s="27" t="n">
        <v>1.2946</v>
      </c>
      <c r="P25" s="27" t="n">
        <v>0.5497</v>
      </c>
      <c r="Q25" s="27" t="n">
        <v>0.586</v>
      </c>
      <c r="R25" s="27">
        <f>IFERROR(O25/P25,"")</f>
        <v/>
      </c>
      <c r="S25" s="27">
        <f>IFERROR(AVERAGE(R23:R25),"")</f>
        <v/>
      </c>
      <c r="T25" s="27">
        <f>IFERROR(Q25/Q20,"")</f>
        <v/>
      </c>
      <c r="U25" s="27">
        <f>IFERROR(O25/O22-1,"")</f>
        <v/>
      </c>
      <c r="V25" s="27">
        <f>IFERROR(P25/P22-1,"")</f>
        <v/>
      </c>
      <c r="AA25" s="27" t="inlineStr">
        <is>
          <t>Binance_spot</t>
        </is>
      </c>
      <c r="AB25" s="56" t="n">
        <v>21450000</v>
      </c>
      <c r="AC25" s="57" t="n">
        <v>0.497</v>
      </c>
      <c r="AJ25" s="27">
        <f>IF(OR(AB25="",D25="",D25=0),"",AB25/D25)</f>
        <v/>
      </c>
    </row>
    <row r="26">
      <c r="A26" s="27" t="inlineStr">
        <is>
          <t>2026-07-18</t>
        </is>
      </c>
      <c r="B26" s="27" t="n">
        <v>0.09125536099999999</v>
      </c>
      <c r="C26" s="27">
        <f>IFERROR(B26/B25-1,"")</f>
        <v/>
      </c>
      <c r="D26" s="27" t="n">
        <v>1900000000</v>
      </c>
      <c r="E26" s="27" t="n">
        <v>0.5094</v>
      </c>
      <c r="F26" s="27" t="n">
        <v>5.3678333e-05</v>
      </c>
      <c r="G26" s="27" t="n">
        <v>5e-05</v>
      </c>
      <c r="H26" s="27" t="n">
        <v>7.207000000000001e-05</v>
      </c>
      <c r="I26" s="27" t="n">
        <v>6</v>
      </c>
      <c r="L26" s="27" t="n">
        <v>14000000</v>
      </c>
      <c r="O26" s="27" t="n">
        <v>2.1562</v>
      </c>
      <c r="P26" s="27" t="n">
        <v>0.7467</v>
      </c>
      <c r="Q26" s="27" t="n">
        <v>0.7449</v>
      </c>
      <c r="R26" s="27">
        <f>IFERROR(O26/P26,"")</f>
        <v/>
      </c>
      <c r="S26" s="27">
        <f>IFERROR(AVERAGE(R24:R26),"")</f>
        <v/>
      </c>
      <c r="T26" s="27">
        <f>IFERROR(Q26/Q21,"")</f>
        <v/>
      </c>
      <c r="U26" s="27">
        <f>IFERROR(O26/O23-1,"")</f>
        <v/>
      </c>
      <c r="V26" s="27">
        <f>IFERROR(P26/P23-1,"")</f>
        <v/>
      </c>
      <c r="AA26" s="27" t="inlineStr">
        <is>
          <t>Binance_spot</t>
        </is>
      </c>
      <c r="AB26" s="56" t="n">
        <v>29800000</v>
      </c>
      <c r="AC26" s="57" t="n">
        <v>0.528</v>
      </c>
      <c r="AJ26" s="27">
        <f>IF(OR(AB26="",D26="",D26=0),"",AB26/D26)</f>
        <v/>
      </c>
    </row>
    <row r="27">
      <c r="A27" s="27" t="inlineStr">
        <is>
          <t>2026-07-19</t>
        </is>
      </c>
      <c r="B27" s="27" t="n">
        <v>0.16670335</v>
      </c>
      <c r="C27" s="27">
        <f>IFERROR(B27/B26-1,"")</f>
        <v/>
      </c>
      <c r="D27" s="27" t="n">
        <v>6500000000</v>
      </c>
      <c r="E27" s="27" t="n">
        <v>0.5105</v>
      </c>
      <c r="F27" s="27" t="n">
        <v>3.5783333e-05</v>
      </c>
      <c r="G27" s="27" t="n">
        <v>-6.06e-06</v>
      </c>
      <c r="H27" s="27" t="n">
        <v>5e-05</v>
      </c>
      <c r="I27" s="27" t="n">
        <v>6</v>
      </c>
      <c r="L27" s="27" t="n">
        <v>27000000</v>
      </c>
      <c r="O27" s="27" t="n">
        <v>1.6104</v>
      </c>
      <c r="P27" s="27" t="n">
        <v>0.5528</v>
      </c>
      <c r="Q27" s="27" t="n">
        <v>0.5828</v>
      </c>
      <c r="R27" s="27">
        <f>IFERROR(O27/P27,"")</f>
        <v/>
      </c>
      <c r="S27" s="27">
        <f>IFERROR(AVERAGE(R25:R27),"")</f>
        <v/>
      </c>
      <c r="T27" s="27">
        <f>IFERROR(Q27/Q22,"")</f>
        <v/>
      </c>
      <c r="U27" s="27">
        <f>IFERROR(O27/O24-1,"")</f>
        <v/>
      </c>
      <c r="V27" s="27">
        <f>IFERROR(P27/P24-1,"")</f>
        <v/>
      </c>
      <c r="AA27" s="27" t="inlineStr">
        <is>
          <t>Binance_spot</t>
        </is>
      </c>
      <c r="AB27" s="56" t="n">
        <v>114270000</v>
      </c>
      <c r="AC27" s="57" t="n">
        <v>0.522</v>
      </c>
      <c r="AJ27" s="27">
        <f>IF(OR(AB27="",D27="",D27=0),"",AB27/D27)</f>
        <v/>
      </c>
    </row>
    <row r="28">
      <c r="A28" s="27" t="inlineStr">
        <is>
          <t>2026-07-20</t>
        </is>
      </c>
      <c r="B28" s="27" t="n">
        <v>0.26363722</v>
      </c>
      <c r="C28" s="27">
        <f>IFERROR(B28/B27-1,"")</f>
        <v/>
      </c>
      <c r="D28" s="27" t="n">
        <v>5400000000</v>
      </c>
      <c r="E28" s="27" t="n">
        <v>0.5141</v>
      </c>
      <c r="F28" s="27" t="n">
        <v>5e-05</v>
      </c>
      <c r="G28" s="27" t="n">
        <v>5e-05</v>
      </c>
      <c r="H28" s="27" t="n">
        <v>5e-05</v>
      </c>
      <c r="I28" s="27" t="n">
        <v>6</v>
      </c>
      <c r="L28" s="27" t="n">
        <v>50000000</v>
      </c>
      <c r="O28" s="27" t="n">
        <v>1.0905</v>
      </c>
      <c r="P28" s="27" t="n">
        <v>0.3526</v>
      </c>
      <c r="Q28" s="27" t="n">
        <v>0.3897</v>
      </c>
      <c r="R28" s="27">
        <f>IFERROR(O28/P28,"")</f>
        <v/>
      </c>
      <c r="S28" s="27">
        <f>IFERROR(AVERAGE(R26:R28),"")</f>
        <v/>
      </c>
      <c r="T28" s="27">
        <f>IFERROR(Q28/Q23,"")</f>
        <v/>
      </c>
      <c r="U28" s="27">
        <f>IFERROR(O28/O25-1,"")</f>
        <v/>
      </c>
      <c r="V28" s="27">
        <f>IFERROR(P28/P25-1,"")</f>
        <v/>
      </c>
      <c r="AA28" s="27" t="inlineStr">
        <is>
          <t>Binance_spot</t>
        </is>
      </c>
      <c r="AB28" s="56" t="n">
        <v>77060000</v>
      </c>
      <c r="AC28" s="57" t="n">
        <v>0.528</v>
      </c>
      <c r="AJ28" s="27">
        <f>IF(OR(AB28="",D28="",D28=0),"",AB28/D28)</f>
        <v/>
      </c>
    </row>
    <row r="29">
      <c r="A29" s="27" t="inlineStr">
        <is>
          <t>2026-07-21</t>
        </is>
      </c>
      <c r="B29" s="27" t="n">
        <v>0.19117724</v>
      </c>
      <c r="C29" s="27">
        <f>IFERROR(B29/B28-1,"")</f>
        <v/>
      </c>
      <c r="D29" s="27" t="n">
        <v>5600000000</v>
      </c>
      <c r="E29" s="27" t="n">
        <v>0.5038</v>
      </c>
      <c r="F29" s="27" t="n">
        <v>3.9018333e-05</v>
      </c>
      <c r="G29" s="27" t="n">
        <v>-2.382e-05</v>
      </c>
      <c r="H29" s="27" t="n">
        <v>5.793e-05</v>
      </c>
      <c r="I29" s="27" t="n">
        <v>6</v>
      </c>
      <c r="L29" s="27" t="n">
        <v>58000000</v>
      </c>
      <c r="O29" s="27" t="n">
        <v>1.2971</v>
      </c>
      <c r="P29" s="27" t="n">
        <v>0.3988</v>
      </c>
      <c r="Q29" s="27" t="n">
        <v>0.4345</v>
      </c>
      <c r="R29" s="27">
        <f>IFERROR(O29/P29,"")</f>
        <v/>
      </c>
      <c r="S29" s="27">
        <f>IFERROR(AVERAGE(R27:R29),"")</f>
        <v/>
      </c>
      <c r="T29" s="27">
        <f>IFERROR(Q29/Q24,"")</f>
        <v/>
      </c>
      <c r="U29" s="27">
        <f>IFERROR(O29/O26-1,"")</f>
        <v/>
      </c>
      <c r="V29" s="27">
        <f>IFERROR(P29/P26-1,"")</f>
        <v/>
      </c>
      <c r="AA29" s="27" t="inlineStr">
        <is>
          <t>Binance_spot</t>
        </is>
      </c>
      <c r="AB29" s="56" t="n">
        <v>97030000</v>
      </c>
      <c r="AC29" s="57" t="n">
        <v>0.499</v>
      </c>
      <c r="AJ29" s="27">
        <f>IF(OR(AB29="",D29="",D29=0),"",AB29/D29)</f>
        <v/>
      </c>
    </row>
    <row r="30">
      <c r="A30" s="27" t="inlineStr">
        <is>
          <t>2026-07-22</t>
        </is>
      </c>
      <c r="B30" s="27" t="n">
        <v>0.18066321</v>
      </c>
      <c r="C30" s="27">
        <f>IFERROR(B30/B29-1,"")</f>
        <v/>
      </c>
      <c r="D30" s="27" t="n">
        <v>4900000000</v>
      </c>
      <c r="E30" s="27" t="n">
        <v>0.5042</v>
      </c>
      <c r="F30" s="27" t="n">
        <v>-2.2916667e-06</v>
      </c>
      <c r="G30" s="27" t="n">
        <v>-0.00026375</v>
      </c>
      <c r="H30" s="27" t="n">
        <v>5e-05</v>
      </c>
      <c r="I30" s="27" t="n">
        <v>6</v>
      </c>
      <c r="L30" s="27" t="n">
        <v>31000000</v>
      </c>
      <c r="O30" s="27" t="n">
        <v>1.4772</v>
      </c>
      <c r="P30" s="27" t="n">
        <v>0.6578000000000001</v>
      </c>
      <c r="Q30" s="27" t="n">
        <v>0.7479</v>
      </c>
      <c r="R30" s="27">
        <f>IFERROR(O30/P30,"")</f>
        <v/>
      </c>
      <c r="S30" s="27">
        <f>IFERROR(AVERAGE(R28:R30),"")</f>
        <v/>
      </c>
      <c r="T30" s="27">
        <f>IFERROR(Q30/Q25,"")</f>
        <v/>
      </c>
      <c r="U30" s="27">
        <f>IFERROR(O30/O27-1,"")</f>
        <v/>
      </c>
      <c r="V30" s="27">
        <f>IFERROR(P30/P27-1,"")</f>
        <v/>
      </c>
      <c r="AA30" s="27" t="inlineStr">
        <is>
          <t>Binance_spot</t>
        </is>
      </c>
      <c r="AB30" s="56" t="n">
        <v>97100000</v>
      </c>
      <c r="AC30" s="57" t="n">
        <v>0.509</v>
      </c>
      <c r="AJ30" s="27">
        <f>IF(OR(AB30="",D30="",D30=0),"",AB30/D30)</f>
        <v/>
      </c>
    </row>
    <row r="31">
      <c r="A31" s="27" t="inlineStr">
        <is>
          <t>2026-07-23</t>
        </is>
      </c>
      <c r="B31" s="27" t="n">
        <v>0.24723658</v>
      </c>
      <c r="C31" s="27">
        <f>IFERROR(B31/B30-1,"")</f>
        <v/>
      </c>
      <c r="D31" s="27" t="n">
        <v>3600000000</v>
      </c>
      <c r="E31" s="27" t="n">
        <v>0.5056</v>
      </c>
      <c r="F31" s="27" t="n">
        <v>5e-05</v>
      </c>
      <c r="G31" s="27" t="n">
        <v>5e-05</v>
      </c>
      <c r="H31" s="27" t="n">
        <v>5e-05</v>
      </c>
      <c r="I31" s="27" t="n">
        <v>6</v>
      </c>
      <c r="L31" s="27" t="n">
        <v>41000000</v>
      </c>
      <c r="O31" s="27" t="n">
        <v>1.3625</v>
      </c>
      <c r="P31" s="27" t="n">
        <v>0.4988</v>
      </c>
      <c r="Q31" s="27" t="n">
        <v>0.6044</v>
      </c>
      <c r="R31" s="27">
        <f>IFERROR(O31/P31,"")</f>
        <v/>
      </c>
      <c r="S31" s="27">
        <f>IFERROR(AVERAGE(R29:R31),"")</f>
        <v/>
      </c>
      <c r="T31" s="27">
        <f>IFERROR(Q31/Q26,"")</f>
        <v/>
      </c>
      <c r="U31" s="27">
        <f>IFERROR(O31/O28-1,"")</f>
        <v/>
      </c>
      <c r="V31" s="27">
        <f>IFERROR(P31/P28-1,"")</f>
        <v/>
      </c>
      <c r="AA31" s="27" t="inlineStr">
        <is>
          <t>Binance_spot</t>
        </is>
      </c>
      <c r="AB31" s="56" t="n">
        <v>55960000</v>
      </c>
      <c r="AC31" s="57" t="n">
        <v>0.505</v>
      </c>
      <c r="AJ31" s="27">
        <f>IF(OR(AB31="",D31="",D31=0),"",AB31/D31)</f>
        <v/>
      </c>
    </row>
    <row r="32">
      <c r="A32" s="27" t="inlineStr">
        <is>
          <t>2026-07-24</t>
        </is>
      </c>
      <c r="B32" s="27" t="n">
        <v>0.28338896</v>
      </c>
      <c r="C32" s="27">
        <f>IFERROR(B32/B31-1,"")</f>
        <v/>
      </c>
      <c r="D32" s="27" t="n">
        <v>4300000000</v>
      </c>
      <c r="E32" s="27" t="n">
        <v>0.5079</v>
      </c>
      <c r="F32" s="27" t="n">
        <v>5e-05</v>
      </c>
      <c r="G32" s="27" t="n">
        <v>5e-05</v>
      </c>
      <c r="H32" s="27" t="n">
        <v>5e-05</v>
      </c>
      <c r="I32" s="27" t="n">
        <v>6</v>
      </c>
      <c r="L32" s="27" t="n">
        <v>51000000</v>
      </c>
      <c r="O32" s="27" t="n">
        <v>1.3077</v>
      </c>
      <c r="P32" s="27" t="n">
        <v>0.4108</v>
      </c>
      <c r="Q32" s="27" t="n">
        <v>0.4997</v>
      </c>
      <c r="R32" s="27">
        <f>IFERROR(O32/P32,"")</f>
        <v/>
      </c>
      <c r="S32" s="27">
        <f>IFERROR(AVERAGE(R30:R32),"")</f>
        <v/>
      </c>
      <c r="T32" s="27">
        <f>IFERROR(Q32/Q27,"")</f>
        <v/>
      </c>
      <c r="U32" s="27">
        <f>IFERROR(O32/O29-1,"")</f>
        <v/>
      </c>
      <c r="V32" s="27">
        <f>IFERROR(P32/P29-1,"")</f>
        <v/>
      </c>
      <c r="AA32" s="27" t="inlineStr">
        <is>
          <t>Binance_spot</t>
        </is>
      </c>
      <c r="AB32" s="56" t="n">
        <v>65500000</v>
      </c>
      <c r="AC32" s="57" t="n">
        <v>0.507</v>
      </c>
      <c r="AJ32" s="27">
        <f>IF(OR(AB32="",D32="",D32=0),"",AB32/D32)</f>
        <v/>
      </c>
    </row>
    <row r="33">
      <c r="A33" s="27" t="inlineStr">
        <is>
          <t>2026-07-25</t>
        </is>
      </c>
      <c r="B33" s="27" t="n">
        <v>0.32210496</v>
      </c>
      <c r="C33" s="27">
        <f>IFERROR(B33/B32-1,"")</f>
        <v/>
      </c>
      <c r="D33" s="27" t="n">
        <v>1900000000</v>
      </c>
      <c r="E33" s="27" t="n">
        <v>0.5155999999999999</v>
      </c>
      <c r="F33" s="27" t="n">
        <v>3.8363333e-05</v>
      </c>
      <c r="G33" s="27" t="n">
        <v>-1.982e-05</v>
      </c>
      <c r="H33" s="27" t="n">
        <v>5e-05</v>
      </c>
      <c r="I33" s="27" t="n">
        <v>6</v>
      </c>
      <c r="L33" s="27" t="n">
        <v>59000000</v>
      </c>
      <c r="O33" s="27" t="n">
        <v>1.3167</v>
      </c>
      <c r="P33" s="27" t="n">
        <v>0.378</v>
      </c>
      <c r="Q33" s="27" t="n">
        <v>0.4257</v>
      </c>
      <c r="R33" s="27">
        <f>IFERROR(O33/P33,"")</f>
        <v/>
      </c>
      <c r="S33" s="27">
        <f>IFERROR(AVERAGE(R31:R33),"")</f>
        <v/>
      </c>
      <c r="T33" s="27">
        <f>IFERROR(Q33/Q28,"")</f>
        <v/>
      </c>
      <c r="U33" s="27">
        <f>IFERROR(O33/O30-1,"")</f>
        <v/>
      </c>
      <c r="V33" s="27">
        <f>IFERROR(P33/P30-1,"")</f>
        <v/>
      </c>
      <c r="AA33" s="27" t="inlineStr">
        <is>
          <t>Binance_spot</t>
        </is>
      </c>
      <c r="AB33" s="56" t="n">
        <v>45180000</v>
      </c>
      <c r="AC33" s="57" t="n">
        <v>0.511</v>
      </c>
      <c r="AJ33" s="27">
        <f>IF(OR(AB33="",D33="",D33=0),"",AB33/D33)</f>
        <v/>
      </c>
    </row>
    <row r="34">
      <c r="A34" s="27" t="inlineStr">
        <is>
          <t>2026-07-26</t>
        </is>
      </c>
      <c r="B34" s="27" t="n">
        <v>0.3685</v>
      </c>
      <c r="C34" s="27">
        <f>IFERROR(B34/B33-1,"")</f>
        <v/>
      </c>
      <c r="D34" s="27" t="n">
        <v>721232744</v>
      </c>
      <c r="E34" s="27" t="n">
        <v>51.21</v>
      </c>
      <c r="F34" s="27" t="n">
        <v>4.9e-05</v>
      </c>
      <c r="G34" s="27" t="n">
        <v>4.6e-05</v>
      </c>
      <c r="H34" s="27" t="n">
        <v>5e-05</v>
      </c>
      <c r="I34" s="27" t="n">
        <v>6</v>
      </c>
      <c r="L34" s="27" t="n">
        <v>63358945</v>
      </c>
      <c r="O34" s="27" t="n">
        <v>1.31</v>
      </c>
      <c r="P34" s="27" t="n">
        <v>0.358</v>
      </c>
      <c r="Q34" s="27" t="n">
        <v>0.4255</v>
      </c>
      <c r="R34" s="27">
        <f>IFERROR(O34/P34,"")</f>
        <v/>
      </c>
      <c r="S34" s="27">
        <f>IFERROR(AVERAGE(R32:R34),"")</f>
        <v/>
      </c>
      <c r="T34" s="27">
        <f>IFERROR(Q34/Q29,"")</f>
        <v/>
      </c>
      <c r="U34" s="27">
        <f>IFERROR(O34/O31-1,"")</f>
        <v/>
      </c>
      <c r="V34" s="27">
        <f>IFERROR(P34/P31-1,"")</f>
        <v/>
      </c>
      <c r="W34" s="27" t="inlineStr">
        <is>
          <t>lsr_accum|stealth_grind|oi_ignition</t>
        </is>
      </c>
      <c r="AA34" s="27" t="inlineStr">
        <is>
          <t>Binance_spot</t>
        </is>
      </c>
      <c r="AB34" s="56" t="n">
        <v>35560000</v>
      </c>
      <c r="AC34" s="57" t="n">
        <v>0.514</v>
      </c>
      <c r="AJ34" s="27">
        <f>IF(OR(AB34="",D34="",D34=0),"",AB34/D34)</f>
        <v/>
      </c>
      <c r="AN34" s="27" t="inlineStr">
        <is>
          <t>hau-markup, phan phoi dang chay</t>
        </is>
      </c>
    </row>
    <row r="35">
      <c r="A35" s="27" t="inlineStr">
        <is>
          <t>2026-07-27</t>
        </is>
      </c>
      <c r="B35" s="27" t="n">
        <v>0.4128</v>
      </c>
      <c r="C35" s="27">
        <f>IFERROR(B35/B34-1,"")</f>
        <v/>
      </c>
      <c r="D35" s="27" t="n">
        <v>1529118313</v>
      </c>
      <c r="E35" s="27" t="n">
        <v>50.85</v>
      </c>
      <c r="F35" s="27" t="n">
        <v>3.3e-05</v>
      </c>
      <c r="G35" s="27" t="n">
        <v>-2e-06</v>
      </c>
      <c r="H35" s="27" t="n">
        <v>5e-05</v>
      </c>
      <c r="I35" s="27" t="n">
        <v>6</v>
      </c>
      <c r="L35" s="27" t="n">
        <v>70833437</v>
      </c>
      <c r="O35" s="27" t="n">
        <v>1.3036</v>
      </c>
      <c r="P35" s="27" t="n">
        <v>0.333</v>
      </c>
      <c r="Q35" s="27" t="n">
        <v>0.3889</v>
      </c>
      <c r="R35" s="27">
        <f>IFERROR(O35/P35,"")</f>
        <v/>
      </c>
      <c r="S35" s="27">
        <f>IFERROR(AVERAGE(R33:R35),"")</f>
        <v/>
      </c>
      <c r="T35" s="27">
        <f>IFERROR(Q35/Q30,"")</f>
        <v/>
      </c>
      <c r="U35" s="27">
        <f>IFERROR(O35/O32-1,"")</f>
        <v/>
      </c>
      <c r="V35" s="27">
        <f>IFERROR(P35/P32-1,"")</f>
        <v/>
      </c>
      <c r="W35" s="27" t="inlineStr">
        <is>
          <t>lsr_accum|stealth_grind|oi_ignition</t>
        </is>
      </c>
      <c r="AA35" s="27" t="inlineStr">
        <is>
          <t>Binance_spot</t>
        </is>
      </c>
      <c r="AB35" s="56" t="n">
        <v>124750000</v>
      </c>
      <c r="AC35" s="57" t="n">
        <v>0.517</v>
      </c>
      <c r="AJ35" s="27">
        <f>IF(OR(AB35="",D35="",D35=0),"",AB35/D35)</f>
        <v/>
      </c>
    </row>
    <row r="36">
      <c r="A36" s="27" t="inlineStr">
        <is>
          <t>2026-07-28</t>
        </is>
      </c>
      <c r="B36" s="27" t="n">
        <v>0.2858</v>
      </c>
      <c r="C36" s="27">
        <f>IFERROR(B36/B35-1,"")</f>
        <v/>
      </c>
      <c r="I36" s="27" t="n">
        <v>6</v>
      </c>
      <c r="L36" s="27" t="n">
        <v>39769000</v>
      </c>
      <c r="R36" s="27">
        <f>IFERROR(O36/P36,"")</f>
        <v/>
      </c>
      <c r="S36" s="27">
        <f>IFERROR(AVERAGE(R34:R36),"")</f>
        <v/>
      </c>
      <c r="T36" s="27">
        <f>IFERROR(Q36/Q31,"")</f>
        <v/>
      </c>
      <c r="U36" s="27">
        <f>IFERROR(O36/O33-1,"")</f>
        <v/>
      </c>
      <c r="V36" s="27">
        <f>IFERROR(P36/P33-1,"")</f>
        <v/>
      </c>
      <c r="W36" s="27" t="inlineStr">
        <is>
          <t>lsr_accum|stealth_grind|oi_ignition</t>
        </is>
      </c>
      <c r="X36" s="27" t="inlineStr">
        <is>
          <t>dist_wall|post_climax</t>
        </is>
      </c>
      <c r="AA36" s="27" t="inlineStr">
        <is>
          <t>Binance_spot</t>
        </is>
      </c>
      <c r="AB36" s="56" t="n">
        <v>116370000</v>
      </c>
      <c r="AC36" s="57" t="n">
        <v>0.511</v>
      </c>
      <c r="AJ36" s="27">
        <f>IF(OR(AB36="",D36="",D36=0),"",AB36/D36)</f>
        <v/>
      </c>
      <c r="AN36" s="27" t="inlineStr">
        <is>
          <t>px -31%, OI -44% — suppressor dung bai</t>
        </is>
      </c>
    </row>
    <row r="37">
      <c r="A37" s="27" t="inlineStr">
        <is>
          <t>2026-07-29</t>
        </is>
      </c>
      <c r="B37" s="27" t="n">
        <v>0.1713490368477554</v>
      </c>
      <c r="C37" s="27">
        <f>IFERROR(B37/B36-1,"")</f>
        <v/>
      </c>
      <c r="D37" s="27" t="n">
        <v>738355605.75427</v>
      </c>
      <c r="E37" s="27" t="n">
        <v>49.892268</v>
      </c>
      <c r="F37" s="27" t="n">
        <v>-0.000988205</v>
      </c>
      <c r="G37" s="27" t="n">
        <v>-0.00205082</v>
      </c>
      <c r="H37" s="27" t="n">
        <v>-1.461e-05</v>
      </c>
      <c r="I37" s="27" t="n">
        <v>6</v>
      </c>
      <c r="L37" s="27" t="n">
        <v>25365666.16605</v>
      </c>
      <c r="O37" s="27" t="n">
        <v>1.3307</v>
      </c>
      <c r="P37" s="27" t="n">
        <v>0.8567</v>
      </c>
      <c r="Q37" s="27" t="n">
        <v>0.9384</v>
      </c>
      <c r="R37" s="27">
        <f>IFERROR(O37/P37,"")</f>
        <v/>
      </c>
      <c r="S37" s="27">
        <f>IFERROR(AVERAGE(R35:R37),"")</f>
        <v/>
      </c>
      <c r="T37" s="27">
        <f>IFERROR(Q37/Q32,"")</f>
        <v/>
      </c>
      <c r="U37" s="27">
        <f>IFERROR(O37/O34-1,"")</f>
        <v/>
      </c>
      <c r="V37" s="27">
        <f>IFERROR(P37/P34-1,"")</f>
        <v/>
      </c>
      <c r="AA37" s="27" t="inlineStr">
        <is>
          <t>Binance_spot</t>
        </is>
      </c>
      <c r="AB37" s="56" t="n">
        <v>66910000</v>
      </c>
      <c r="AC37" s="57" t="n">
        <v>0.507</v>
      </c>
      <c r="AJ37" s="27">
        <f>IF(OR(AB37="",D37="",D37=0),"",AB37/D37)</f>
        <v/>
      </c>
    </row>
    <row r="38">
      <c r="A38" s="27" t="inlineStr">
        <is>
          <t>2026-07-30</t>
        </is>
      </c>
      <c r="B38" s="27" t="n">
        <v>0.0887329722906726</v>
      </c>
      <c r="C38" s="27">
        <f>IFERROR(B38/B37-1,"")</f>
        <v/>
      </c>
      <c r="D38" s="27" t="n">
        <v>1039593900.21891</v>
      </c>
      <c r="E38" s="27" t="n">
        <v>49.166328</v>
      </c>
      <c r="F38" s="27" t="n">
        <v>-0.003337582</v>
      </c>
      <c r="G38" s="27" t="n">
        <v>-0.02</v>
      </c>
      <c r="H38" s="27" t="n">
        <v>-4.97e-05</v>
      </c>
      <c r="I38" s="27" t="n">
        <v>15</v>
      </c>
      <c r="L38" s="27" t="n">
        <v>21421641.72207464</v>
      </c>
      <c r="O38" s="27" t="n">
        <v>1.1134</v>
      </c>
      <c r="P38" s="27" t="n">
        <v>0.9346</v>
      </c>
      <c r="Q38" s="27" t="n">
        <v>0.9873</v>
      </c>
      <c r="R38" s="27">
        <f>IFERROR(O38/P38,"")</f>
        <v/>
      </c>
      <c r="S38" s="27">
        <f>IFERROR(AVERAGE(R36:R38),"")</f>
        <v/>
      </c>
      <c r="T38" s="27">
        <f>IFERROR(Q38/Q33,"")</f>
        <v/>
      </c>
      <c r="U38" s="27">
        <f>IFERROR(O38/O35-1,"")</f>
        <v/>
      </c>
      <c r="V38" s="27">
        <f>IFERROR(P38/P35-1,"")</f>
        <v/>
      </c>
      <c r="AA38" s="27" t="inlineStr">
        <is>
          <t>Binance_spot</t>
        </is>
      </c>
      <c r="AB38" s="56" t="n">
        <v>85580000</v>
      </c>
      <c r="AC38" s="57" t="n">
        <v>0.465</v>
      </c>
      <c r="AJ38" s="27">
        <f>IF(OR(AB38="",D38="",D38=0),"",AB38/D38)</f>
        <v/>
      </c>
    </row>
    <row r="39">
      <c r="A39" s="27" t="inlineStr">
        <is>
          <t>2026-07-31</t>
        </is>
      </c>
      <c r="B39" s="27" t="n">
        <v>0.0630603801681764</v>
      </c>
      <c r="C39" s="27">
        <f>IFERROR(B39/B38-1,"")</f>
        <v/>
      </c>
      <c r="D39" s="27" t="n">
        <v>562696137.64149</v>
      </c>
      <c r="E39" s="27" t="n">
        <v>49.155989</v>
      </c>
      <c r="F39" s="27" t="n">
        <v>-0.001911111666666667</v>
      </c>
      <c r="G39" s="27" t="n">
        <v>-0.00438872</v>
      </c>
      <c r="H39" s="27" t="n">
        <v>-0.00069484</v>
      </c>
      <c r="I39" s="27" t="n">
        <v>24</v>
      </c>
      <c r="L39" s="27" t="n">
        <v>17254036.24131712</v>
      </c>
      <c r="O39" s="27" t="n">
        <v>1.1095</v>
      </c>
      <c r="P39" s="27" t="n">
        <v>1.7933</v>
      </c>
      <c r="Q39" s="27" t="n">
        <v>1.5013</v>
      </c>
      <c r="R39" s="27">
        <f>IFERROR(O39/P39,"")</f>
        <v/>
      </c>
      <c r="S39" s="27">
        <f>IFERROR(AVERAGE(R37:R39),"")</f>
        <v/>
      </c>
      <c r="T39" s="27">
        <f>IFERROR(Q39/Q34,"")</f>
        <v/>
      </c>
      <c r="U39" s="27">
        <f>IFERROR(O39/O36-1,"")</f>
        <v/>
      </c>
      <c r="V39" s="27">
        <f>IFERROR(P39/P36-1,"")</f>
        <v/>
      </c>
      <c r="AA39" s="27" t="inlineStr">
        <is>
          <t>Binance_spot</t>
        </is>
      </c>
      <c r="AB39" s="56" t="n">
        <v>35330000</v>
      </c>
      <c r="AC39" s="57" t="n">
        <v>0.466</v>
      </c>
      <c r="AJ39" s="27">
        <f>IF(OR(AB39="",D39="",D39=0),"",AB39/D39)</f>
        <v/>
      </c>
    </row>
    <row r="40">
      <c r="A40" s="58" t="inlineStr">
        <is>
          <t>2026-08-01</t>
        </is>
      </c>
      <c r="B40" s="59" t="n">
        <v>0.056915</v>
      </c>
      <c r="C40" s="57" t="n">
        <v>-0.09745231715678249</v>
      </c>
      <c r="D40" s="57" t="n">
        <v>253304478</v>
      </c>
      <c r="E40" s="57" t="n">
        <v>0.4804</v>
      </c>
      <c r="F40" s="27" t="n">
        <v>-0.000806</v>
      </c>
      <c r="G40" s="27" t="n">
        <v>-0.002363</v>
      </c>
      <c r="H40" s="27" t="n">
        <v>-0.000139</v>
      </c>
      <c r="I40" s="27" t="n">
        <v>24</v>
      </c>
      <c r="J40" s="27" t="inlineStr">
        <is>
          <t>neg_batch</t>
        </is>
      </c>
      <c r="K40" s="56" t="n"/>
      <c r="L40" s="27" t="n">
        <v>18027284</v>
      </c>
      <c r="O40" s="27" t="n">
        <v>1.1805</v>
      </c>
      <c r="P40" s="27" t="n">
        <v>2.0276</v>
      </c>
      <c r="Q40" s="27" t="n">
        <v>1.7996</v>
      </c>
      <c r="R40" s="27" t="n">
        <v>0.5822154271059381</v>
      </c>
      <c r="Z40" s="27" t="n">
        <v>0</v>
      </c>
      <c r="AA40" s="56" t="inlineStr">
        <is>
          <t>Binance_spot</t>
        </is>
      </c>
      <c r="AB40" s="57" t="n">
        <v>19910000</v>
      </c>
      <c r="AC40" s="27" t="n">
        <v>0.462</v>
      </c>
    </row>
    <row r="41">
      <c r="A41" s="58" t="inlineStr">
        <is>
          <t>2026-08-02</t>
        </is>
      </c>
      <c r="B41" s="59" t="n">
        <v>0.047883</v>
      </c>
      <c r="C41" s="57" t="n">
        <v>-0.1586927874901168</v>
      </c>
      <c r="D41" s="57" t="n">
        <v>172554826</v>
      </c>
      <c r="E41" s="57" t="n">
        <v>0.4791</v>
      </c>
      <c r="F41" s="27" t="n">
        <v>-0.000349</v>
      </c>
      <c r="G41" s="27" t="n">
        <v>-0.000722</v>
      </c>
      <c r="H41" s="27" t="n">
        <v>-9.66e-05</v>
      </c>
      <c r="I41" s="27" t="n">
        <v>24</v>
      </c>
      <c r="J41" s="27" t="inlineStr">
        <is>
          <t>neg_light</t>
        </is>
      </c>
      <c r="K41" s="56" t="n"/>
      <c r="L41" s="27" t="n">
        <v>17469390</v>
      </c>
      <c r="O41" s="27" t="n">
        <v>1.3197</v>
      </c>
      <c r="P41" s="27" t="n">
        <v>2.2658</v>
      </c>
      <c r="Q41" s="27" t="n">
        <v>1.8843</v>
      </c>
      <c r="R41" s="27" t="n">
        <v>0.5824432871392003</v>
      </c>
      <c r="Z41" s="27" t="n">
        <v>0</v>
      </c>
      <c r="AA41" s="56" t="inlineStr">
        <is>
          <t>Binance_spot</t>
        </is>
      </c>
      <c r="AB41" s="57" t="n">
        <v>12180000</v>
      </c>
      <c r="AC41" s="27" t="n">
        <v>0.493</v>
      </c>
    </row>
    <row r="42">
      <c r="A42" s="58" t="inlineStr">
        <is>
          <t>2026-08-03</t>
        </is>
      </c>
      <c r="B42" s="59" t="n">
        <v>0.043163</v>
      </c>
      <c r="C42" s="57" t="n">
        <v>-0.09857360649917513</v>
      </c>
      <c r="D42" s="57" t="n">
        <v>143022585</v>
      </c>
      <c r="E42" s="57" t="n">
        <v>0.4883</v>
      </c>
      <c r="F42" s="27" t="n">
        <v>-0.000186</v>
      </c>
      <c r="G42" s="27" t="n">
        <v>-0.000821</v>
      </c>
      <c r="H42" s="27" t="n">
        <v>3.5e-06</v>
      </c>
      <c r="I42" s="27" t="n">
        <v>24</v>
      </c>
      <c r="J42" s="27" t="inlineStr">
        <is>
          <t>neg_light</t>
        </is>
      </c>
      <c r="K42" s="56" t="n"/>
      <c r="L42" s="27" t="n">
        <v>17252550</v>
      </c>
      <c r="O42" s="27" t="n">
        <v>1.3123</v>
      </c>
      <c r="P42" s="27" t="n">
        <v>2.1466</v>
      </c>
      <c r="Q42" s="27" t="n">
        <v>1.7263</v>
      </c>
      <c r="R42" s="27" t="n">
        <v>0.6113388614553248</v>
      </c>
      <c r="Z42" s="27" t="n">
        <v>0</v>
      </c>
      <c r="AA42" s="56" t="inlineStr">
        <is>
          <t>Binance_spot</t>
        </is>
      </c>
      <c r="AB42" s="57" t="n">
        <v>12350000</v>
      </c>
      <c r="AC42" s="27" t="n">
        <v>0.481</v>
      </c>
    </row>
    <row r="43">
      <c r="A43" s="58" t="inlineStr">
        <is>
          <t>2026-08-04</t>
        </is>
      </c>
      <c r="B43" s="59" t="n">
        <v>0.051353</v>
      </c>
      <c r="C43" s="57" t="n">
        <v>0.1897458471375948</v>
      </c>
      <c r="D43" s="57" t="n">
        <v>471564742</v>
      </c>
      <c r="E43" s="57" t="n">
        <v>0.4906</v>
      </c>
      <c r="F43" s="27" t="n">
        <v>-0.000548</v>
      </c>
      <c r="G43" s="27" t="n">
        <v>-0.002347</v>
      </c>
      <c r="H43" s="27" t="n">
        <v>1.25e-05</v>
      </c>
      <c r="I43" s="27" t="n">
        <v>24</v>
      </c>
      <c r="J43" s="27" t="inlineStr">
        <is>
          <t>neg_batch</t>
        </is>
      </c>
      <c r="K43" s="56" t="n"/>
      <c r="L43" s="27" t="n">
        <v>17356910</v>
      </c>
      <c r="O43" s="27" t="n">
        <v>1.3135</v>
      </c>
      <c r="P43" s="27" t="n">
        <v>2.046</v>
      </c>
      <c r="Q43" s="27" t="n">
        <v>1.649</v>
      </c>
      <c r="R43" s="27" t="n">
        <v>0.6419843597262952</v>
      </c>
      <c r="Z43" s="27" t="n">
        <v>0</v>
      </c>
      <c r="AA43" s="56" t="inlineStr">
        <is>
          <t>Binance_spot</t>
        </is>
      </c>
      <c r="AB43" s="57" t="n">
        <v>46830000</v>
      </c>
      <c r="AC43" s="27" t="n">
        <v>0.483</v>
      </c>
    </row>
    <row r="44">
      <c r="A44" s="60" t="inlineStr">
        <is>
          <t>2026-08-05</t>
        </is>
      </c>
      <c r="B44" s="61" t="n">
        <v>0.0519</v>
      </c>
      <c r="C44" s="62" t="n">
        <v>0.01065176328549455</v>
      </c>
      <c r="D44" s="62" t="n">
        <v>102200000</v>
      </c>
      <c r="E44" s="62" t="n">
        <v>0.486</v>
      </c>
      <c r="F44" s="63" t="n"/>
      <c r="G44" s="63" t="n"/>
      <c r="H44" s="63" t="n"/>
      <c r="I44" s="63" t="n"/>
      <c r="J44" s="63" t="inlineStr">
        <is>
          <t>near_zero</t>
        </is>
      </c>
      <c r="K44" s="64" t="n"/>
      <c r="L44" s="63" t="n">
        <v>18070000</v>
      </c>
      <c r="M44" s="63" t="n"/>
      <c r="N44" s="63" t="n"/>
      <c r="O44" s="63" t="n">
        <v>1.199</v>
      </c>
      <c r="P44" s="63" t="n"/>
      <c r="Q44" s="63" t="n">
        <v>1.396</v>
      </c>
      <c r="R44" s="63" t="n"/>
      <c r="S44" s="63" t="n"/>
      <c r="T44" s="63" t="n"/>
      <c r="U44" s="63" t="n"/>
      <c r="V44" s="63" t="n"/>
      <c r="W44" s="63" t="n"/>
      <c r="X44" s="63" t="n"/>
      <c r="Y44" s="63" t="n"/>
      <c r="Z44" s="63" t="n">
        <v>1</v>
      </c>
      <c r="AA44" s="64" t="inlineStr">
        <is>
          <t>Binance_spot</t>
        </is>
      </c>
      <c r="AB44" s="62" t="n">
        <v>6860000</v>
      </c>
      <c r="AC44" s="63" t="n">
        <v>0.473</v>
      </c>
      <c r="AD44" s="63" t="n"/>
      <c r="AE44" s="63" t="n"/>
      <c r="AF44" s="63" t="n"/>
      <c r="AG44" s="63" t="n"/>
      <c r="AH44" s="63" t="n"/>
      <c r="AI44" s="63" t="n"/>
      <c r="AJ44" s="63" t="n"/>
      <c r="AK44" s="63" t="n"/>
      <c r="AL44" s="63" t="n"/>
      <c r="AM44" s="63" t="n"/>
      <c r="AN44" s="63" t="n"/>
      <c r="AO44" s="63" t="n"/>
    </row>
    <row r="45">
      <c r="A45" s="27" t="inlineStr">
        <is>
          <t>2026-08-13</t>
        </is>
      </c>
      <c r="B45" s="27" t="n">
        <v>0.0404143452896341</v>
      </c>
      <c r="C45" s="27">
        <f>IFERROR(B45/B44-1,"")</f>
        <v/>
      </c>
      <c r="D45" s="27" t="n">
        <v>140686649.01256</v>
      </c>
      <c r="E45" s="27" t="n">
        <v>47.657681</v>
      </c>
      <c r="F45" s="27" t="n">
        <v>4.8475e-05</v>
      </c>
      <c r="G45" s="27" t="n">
        <v>4.416e-05</v>
      </c>
      <c r="H45" s="27" t="n">
        <v>5e-05</v>
      </c>
      <c r="I45" s="27" t="n">
        <v>6</v>
      </c>
      <c r="L45" s="27" t="n">
        <v>12984678.97891008</v>
      </c>
      <c r="O45" s="27" t="n">
        <v>1.5928</v>
      </c>
      <c r="P45" s="27" t="n">
        <v>1.8433</v>
      </c>
      <c r="Q45" s="27" t="n">
        <v>1.4295</v>
      </c>
      <c r="R45" s="27">
        <f>IFERROR(O45/P45,"")</f>
        <v/>
      </c>
      <c r="S45" s="27">
        <f>IFERROR(AVERAGE(R43:R45),"")</f>
        <v/>
      </c>
      <c r="T45" s="27">
        <f>IFERROR(Q45/Q40,"")</f>
        <v/>
      </c>
      <c r="U45" s="27">
        <f>IFERROR(O45/O42-1,"")</f>
        <v/>
      </c>
      <c r="V45" s="27">
        <f>IFERROR(P45/P42-1,"")</f>
        <v/>
      </c>
      <c r="AJ45" s="27">
        <f>IF(OR(AB45="",D45="",D45=0),"",AB45/D45)</f>
        <v/>
      </c>
    </row>
    <row r="46">
      <c r="A46" s="27" t="inlineStr">
        <is>
          <t>2026-08-10</t>
        </is>
      </c>
      <c r="B46" s="27" t="n">
        <v>0.0389331582839826</v>
      </c>
      <c r="C46" s="27">
        <f>IFERROR(B46/B45-1,"")</f>
        <v/>
      </c>
      <c r="D46" s="27" t="n">
        <v>42263053.84667</v>
      </c>
      <c r="E46" s="27" t="n">
        <v>49.246308</v>
      </c>
      <c r="F46" s="27" t="n">
        <v>-9.721166666666668e-05</v>
      </c>
      <c r="G46" s="27" t="n">
        <v>-0.00029585</v>
      </c>
      <c r="H46" s="27" t="n">
        <v>5e-05</v>
      </c>
      <c r="I46" s="27" t="n">
        <v>6</v>
      </c>
      <c r="L46" s="27" t="n">
        <v>13196123.73636998</v>
      </c>
      <c r="O46" s="27" t="n">
        <v>1.4526</v>
      </c>
      <c r="P46" s="27" t="n">
        <v>1.9412</v>
      </c>
      <c r="Q46" s="27" t="n">
        <v>1.4498</v>
      </c>
      <c r="R46" s="27">
        <f>IFERROR(O46/P46,"")</f>
        <v/>
      </c>
      <c r="S46" s="27">
        <f>IFERROR(AVERAGE(R44:R46),"")</f>
        <v/>
      </c>
      <c r="T46" s="27">
        <f>IFERROR(Q46/Q41,"")</f>
        <v/>
      </c>
      <c r="U46" s="27">
        <f>IFERROR(O46/O43-1,"")</f>
        <v/>
      </c>
      <c r="V46" s="27">
        <f>IFERROR(P46/P43-1,"")</f>
        <v/>
      </c>
      <c r="AJ46" s="27">
        <f>IF(OR(AB46="",D46="",D46=0),"",AB46/D46)</f>
        <v/>
      </c>
    </row>
    <row r="47">
      <c r="A47" s="27" t="inlineStr">
        <is>
          <t>2026-08-11</t>
        </is>
      </c>
      <c r="B47" s="27" t="n">
        <v>0.0373057526039732</v>
      </c>
      <c r="C47" s="27">
        <f>IFERROR(B47/B46-1,"")</f>
        <v/>
      </c>
      <c r="D47" s="27" t="n">
        <v>45394765.99188</v>
      </c>
      <c r="E47" s="27" t="n">
        <v>46.007235</v>
      </c>
      <c r="F47" s="27" t="n">
        <v>-8.702333333333332e-05</v>
      </c>
      <c r="G47" s="27" t="n">
        <v>-0.00030814</v>
      </c>
      <c r="H47" s="27" t="n">
        <v>3.123e-05</v>
      </c>
      <c r="I47" s="27" t="n">
        <v>6</v>
      </c>
      <c r="L47" s="27" t="n">
        <v>13337814.73104</v>
      </c>
      <c r="O47" s="27" t="n">
        <v>1.5683</v>
      </c>
      <c r="P47" s="27" t="n">
        <v>2.0469</v>
      </c>
      <c r="Q47" s="27" t="n">
        <v>1.5813</v>
      </c>
      <c r="R47" s="27">
        <f>IFERROR(O47/P47,"")</f>
        <v/>
      </c>
      <c r="S47" s="27">
        <f>IFERROR(AVERAGE(R45:R47),"")</f>
        <v/>
      </c>
      <c r="T47" s="27">
        <f>IFERROR(Q47/Q42,"")</f>
        <v/>
      </c>
      <c r="U47" s="27">
        <f>IFERROR(O47/O44-1,"")</f>
        <v/>
      </c>
      <c r="V47" s="27">
        <f>IFERROR(P47/P44-1,"")</f>
        <v/>
      </c>
      <c r="AJ47" s="27">
        <f>IF(OR(AB47="",D47="",D47=0),"",AB47/D47)</f>
        <v/>
      </c>
    </row>
    <row r="48">
      <c r="A48" s="27" t="inlineStr">
        <is>
          <t>2026-08-12</t>
        </is>
      </c>
      <c r="B48" s="27" t="n">
        <v>0.0363926583940916</v>
      </c>
      <c r="C48" s="27">
        <f>IFERROR(B48/B47-1,"")</f>
        <v/>
      </c>
      <c r="D48" s="27" t="n">
        <v>54495385.01868</v>
      </c>
      <c r="E48" s="27" t="n">
        <v>48.408399</v>
      </c>
      <c r="F48" s="27" t="n">
        <v>-0.000389125</v>
      </c>
      <c r="G48" s="27" t="n">
        <v>-0.00084272</v>
      </c>
      <c r="H48" s="27" t="n">
        <v>6.02e-06</v>
      </c>
      <c r="I48" s="27" t="n">
        <v>6</v>
      </c>
      <c r="L48" s="27" t="n">
        <v>11832075.85119</v>
      </c>
      <c r="O48" s="27" t="n">
        <v>1.5795</v>
      </c>
      <c r="P48" s="27" t="n">
        <v>1.907</v>
      </c>
      <c r="Q48" s="27" t="n">
        <v>1.3883</v>
      </c>
      <c r="R48" s="27">
        <f>IFERROR(O48/P48,"")</f>
        <v/>
      </c>
      <c r="S48" s="27">
        <f>IFERROR(AVERAGE(R46:R48),"")</f>
        <v/>
      </c>
      <c r="T48" s="27">
        <f>IFERROR(Q48/Q43,"")</f>
        <v/>
      </c>
      <c r="U48" s="27">
        <f>IFERROR(O48/O45-1,"")</f>
        <v/>
      </c>
      <c r="V48" s="27">
        <f>IFERROR(P48/P45-1,"")</f>
        <v/>
      </c>
      <c r="AJ48" s="27">
        <f>IF(OR(AB48="",D48="",D48=0),"",AB48/D48)</f>
        <v/>
      </c>
    </row>
    <row r="49">
      <c r="A49" s="27" t="inlineStr">
        <is>
          <t>2026-08-14</t>
        </is>
      </c>
      <c r="B49" s="27" t="n">
        <v>0.0373570870676163</v>
      </c>
      <c r="C49" s="27">
        <f>IFERROR(B49/B48-1,"")</f>
        <v/>
      </c>
      <c r="D49" s="27" t="n">
        <v>43707076.14468</v>
      </c>
      <c r="E49" s="27" t="n">
        <v>48.253558</v>
      </c>
      <c r="F49" s="27" t="n">
        <v>1.937e-05</v>
      </c>
      <c r="G49" s="27" t="n">
        <v>-7.900000000000001e-06</v>
      </c>
      <c r="H49" s="27" t="n">
        <v>5e-05</v>
      </c>
      <c r="I49" s="27" t="n">
        <v>6</v>
      </c>
      <c r="L49" s="27" t="n">
        <v>11813030.8373</v>
      </c>
      <c r="O49" s="27" t="n">
        <v>1.559</v>
      </c>
      <c r="P49" s="27" t="n">
        <v>1.8662</v>
      </c>
      <c r="Q49" s="27" t="n">
        <v>1.4462</v>
      </c>
      <c r="R49" s="27">
        <f>IFERROR(O49/P49,"")</f>
        <v/>
      </c>
      <c r="S49" s="27">
        <f>IFERROR(AVERAGE(R47:R49),"")</f>
        <v/>
      </c>
      <c r="T49" s="27">
        <f>IFERROR(Q49/Q44,"")</f>
        <v/>
      </c>
      <c r="U49" s="27">
        <f>IFERROR(O49/O46-1,"")</f>
        <v/>
      </c>
      <c r="V49" s="27">
        <f>IFERROR(P49/P46-1,"")</f>
        <v/>
      </c>
      <c r="AJ49" s="27">
        <f>IF(OR(AB49="",D49="",D49=0),"",AB49/D49)</f>
        <v/>
      </c>
    </row>
    <row r="50">
      <c r="A50" s="27" t="inlineStr">
        <is>
          <t>2026-08-15</t>
        </is>
      </c>
      <c r="B50" s="27" t="n">
        <v>0.0375901118292134</v>
      </c>
      <c r="C50" s="27">
        <f>IFERROR(B50/B49-1,"")</f>
        <v/>
      </c>
      <c r="D50" s="27" t="n">
        <v>28138687.39511</v>
      </c>
      <c r="E50" s="27" t="n">
        <v>47.210051</v>
      </c>
      <c r="F50" s="27" t="n">
        <v>4.253166666666667e-05</v>
      </c>
      <c r="G50" s="27" t="n">
        <v>5.19e-06</v>
      </c>
      <c r="H50" s="27" t="n">
        <v>5e-05</v>
      </c>
      <c r="I50" s="27" t="n">
        <v>6</v>
      </c>
      <c r="L50" s="27" t="n">
        <v>11699705.86807</v>
      </c>
      <c r="O50" s="27" t="n">
        <v>1.593</v>
      </c>
      <c r="P50" s="27" t="n">
        <v>1.7824</v>
      </c>
      <c r="Q50" s="27" t="n">
        <v>1.3838</v>
      </c>
      <c r="R50" s="27">
        <f>IFERROR(O50/P50,"")</f>
        <v/>
      </c>
      <c r="S50" s="27">
        <f>IFERROR(AVERAGE(R48:R50),"")</f>
        <v/>
      </c>
      <c r="T50" s="27">
        <f>IFERROR(Q50/Q45,"")</f>
        <v/>
      </c>
      <c r="U50" s="27">
        <f>IFERROR(O50/O47-1,"")</f>
        <v/>
      </c>
      <c r="V50" s="27">
        <f>IFERROR(P50/P47-1,"")</f>
        <v/>
      </c>
      <c r="AJ50" s="27">
        <f>IF(OR(AB50="",D50="",D50=0),"",AB50/D50)</f>
        <v/>
      </c>
    </row>
    <row r="51">
      <c r="A51" t="inlineStr">
        <is>
          <t>2026-08-16</t>
        </is>
      </c>
      <c r="B51" t="n">
        <v>0.03635792928012117</v>
      </c>
      <c r="C51">
        <f>IFERROR(B51/B50-1,"")</f>
        <v/>
      </c>
      <c r="D51" t="n">
        <v>19287848.72461</v>
      </c>
      <c r="E51" t="n">
        <v>46.141003</v>
      </c>
      <c r="F51" t="n">
        <v>2.4445e-05</v>
      </c>
      <c r="G51" t="n">
        <v>-4.002e-05</v>
      </c>
      <c r="H51" t="n">
        <v>5e-05</v>
      </c>
      <c r="I51" t="n">
        <v>6</v>
      </c>
      <c r="L51" t="n">
        <v>11251300.09384519</v>
      </c>
      <c r="O51" t="n">
        <v>1.6943</v>
      </c>
      <c r="P51" t="n">
        <v>1.8466</v>
      </c>
      <c r="Q51" t="n">
        <v>1.4015</v>
      </c>
      <c r="R51">
        <f>IFERROR(O51/P51,"")</f>
        <v/>
      </c>
      <c r="S51">
        <f>IFERROR(AVERAGE(R49:R51),"")</f>
        <v/>
      </c>
      <c r="T51">
        <f>IFERROR(Q51/Q46,"")</f>
        <v/>
      </c>
      <c r="U51">
        <f>IFERROR(O51/O48-1,"")</f>
        <v/>
      </c>
      <c r="V51">
        <f>IFERROR(P51/P48-1,"")</f>
        <v/>
      </c>
      <c r="AJ51">
        <f>IF(OR(AB51="",D51="",D51=0),"",AB51/D51)</f>
        <v/>
      </c>
    </row>
  </sheetData>
  <mergeCells count="4">
    <mergeCell ref="A1:Z1"/>
    <mergeCell ref="AA1:AJ1"/>
    <mergeCell ref="AK1:AM1"/>
    <mergeCell ref="AN1:A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60" customWidth="1" style="27" min="2" max="2"/>
    <col width="18" customWidth="1" style="27" min="3" max="3"/>
    <col width="45" customWidth="1" style="27" min="4" max="4"/>
  </cols>
  <sheetData>
    <row r="1" ht="16.15" customHeight="1" s="28">
      <c r="A1" s="29" t="inlineStr">
        <is>
          <t>D. NHAT KY DIEN BIEN (append-only, moi nhat duoi cung)</t>
        </is>
      </c>
    </row>
    <row r="3" ht="15" customHeight="1" s="28">
      <c r="A3" s="53" t="inlineStr">
        <is>
          <t>ngay</t>
        </is>
      </c>
      <c r="B3" s="53" t="inlineStr">
        <is>
          <t>su_kien_so_lieu</t>
        </is>
      </c>
      <c r="C3" s="53" t="inlineStr">
        <is>
          <t>nguon</t>
        </is>
      </c>
      <c r="D3" s="53" t="inlineStr">
        <is>
          <t>doc_nhanh</t>
        </is>
      </c>
    </row>
    <row r="4" ht="15" customHeight="1" s="28">
      <c r="A4" s="32" t="inlineStr">
        <is>
          <t>06-29</t>
        </is>
      </c>
      <c r="B4" s="32" t="inlineStr">
        <is>
          <t>lsr_accum bat (T-11), persist</t>
        </is>
      </c>
      <c r="C4" s="32" t="inlineStr">
        <is>
          <t>calib/replay</t>
        </is>
      </c>
      <c r="D4" s="32" t="inlineStr">
        <is>
          <t>tell som nhat bo</t>
        </is>
      </c>
    </row>
    <row r="5" ht="15" customHeight="1" s="28">
      <c r="A5" s="32" t="inlineStr">
        <is>
          <t>07-02</t>
        </is>
      </c>
      <c r="B5" s="32" t="inlineStr">
        <is>
          <t>bait probe vol 13x nen, gLSR 0.795-&gt;0.471</t>
        </is>
      </c>
      <c r="C5" s="32" t="inlineStr">
        <is>
          <t>calib</t>
        </is>
      </c>
      <c r="D5" s="32" t="inlineStr">
        <is>
          <t>crowd_flush(bait)</t>
        </is>
      </c>
    </row>
    <row r="6" ht="15" customHeight="1" s="28">
      <c r="A6" s="32" t="inlineStr">
        <is>
          <t>07-10</t>
        </is>
      </c>
      <c r="B6" s="32" t="inlineStr">
        <is>
          <t>T0 ignition (OI +8%,+20%)</t>
        </is>
      </c>
      <c r="C6" s="32" t="inlineStr">
        <is>
          <t>calib</t>
        </is>
      </c>
      <c r="D6" s="32" t="inlineStr">
        <is>
          <t>bat dau grind</t>
        </is>
      </c>
    </row>
    <row r="7" ht="15" customHeight="1" s="28">
      <c r="A7" s="32" t="inlineStr">
        <is>
          <t>07-11</t>
        </is>
      </c>
      <c r="B7" s="32" t="inlineStr">
        <is>
          <t>pin break (sau T+1)</t>
        </is>
      </c>
      <c r="C7" s="32" t="inlineStr">
        <is>
          <t>BANK_4layer</t>
        </is>
      </c>
      <c r="D7" s="32" t="inlineStr">
        <is>
          <t>ghim xuyen ignition — phat hien moi</t>
        </is>
      </c>
    </row>
    <row r="8" ht="15" customHeight="1" s="28">
      <c r="A8" s="32" t="inlineStr">
        <is>
          <t>07-15/16</t>
        </is>
      </c>
      <c r="B8" s="32" t="inlineStr">
        <is>
          <t>stealth_grind OI +51/+63%, taker&lt;52%</t>
        </is>
      </c>
      <c r="C8" s="32" t="inlineStr">
        <is>
          <t>calib</t>
        </is>
      </c>
      <c r="D8" s="32" t="inlineStr">
        <is>
          <t>bid-walk +6.8x</t>
        </is>
      </c>
    </row>
    <row r="9" ht="15" customHeight="1" s="28">
      <c r="A9" s="32" t="inlineStr">
        <is>
          <t>07-19/20</t>
        </is>
      </c>
      <c r="B9" s="32" t="inlineStr">
        <is>
          <t>pos sap 3.7-&gt;1.17</t>
        </is>
      </c>
      <c r="C9" s="32" t="inlineStr">
        <is>
          <t>calib</t>
        </is>
      </c>
      <c r="D9" s="32" t="inlineStr">
        <is>
          <t>smart money ra</t>
        </is>
      </c>
    </row>
    <row r="10" ht="15" customHeight="1" s="28">
      <c r="A10" s="32" t="inlineStr">
        <is>
          <t>07-28</t>
        </is>
      </c>
      <c r="B10" s="32" t="inlineStr">
        <is>
          <t>px -31%, OI -44%, dist_wall+post_climax bat</t>
        </is>
      </c>
      <c r="C10" s="32" t="inlineStr">
        <is>
          <t>dry-run P1</t>
        </is>
      </c>
      <c r="D10" s="32" t="inlineStr">
        <is>
          <t>phan phoi hau-dinh, suppressor dung</t>
        </is>
      </c>
    </row>
    <row r="11">
      <c r="A11" s="27" t="inlineStr">
        <is>
          <t>06-05/06</t>
        </is>
      </c>
      <c r="B11" s="27" t="inlineStr">
        <is>
          <t>mini-pump: vol 10M→25M→50.9M→41M (05-08/06), high 0.045, funding BURST 08/06 (23.4bps peak). Flush down 05/06 (low 0.022), recover 06-08/06. T-10 so với 17/06 unlock.</t>
        </is>
      </c>
      <c r="C11" s="27" t="inlineStr">
        <is>
          <t>fapi klines + fundingRate (probe 04/08)</t>
        </is>
      </c>
      <c r="D11" s="27" t="inlineStr">
        <is>
          <t>bait-probe trước unlock Jun? (vol+funding chỉ dấu)</t>
        </is>
      </c>
    </row>
    <row r="12">
      <c r="A12" s="27" t="inlineStr">
        <is>
          <t>06-17</t>
        </is>
      </c>
      <c r="B12" s="27" t="inlineStr">
        <is>
          <t>Unlock ~2% supply 17/06: QUIET (vol 1.6M, px ~0.04). Funding toàn PIN. Sau unlock: px -8% đến 22/06. acc_r=0.952 ngày 13/06 (ĐÃ CAO TRƯỚC UNLOCK).</t>
        </is>
      </c>
      <c r="C12" s="27" t="inlineStr">
        <is>
          <t>fapi klines + freshwatch 09/06+13/06 (probe 04/08)</t>
        </is>
      </c>
      <c r="D12" s="27" t="inlineStr">
        <is>
          <t>unlock không kèm markup — đè sau để gom rẻ</t>
        </is>
      </c>
    </row>
    <row r="13">
      <c r="A13" s="27" t="inlineStr">
        <is>
          <t>07-17</t>
        </is>
      </c>
      <c r="B13" s="27" t="inlineStr">
        <is>
          <t>Unlock ~2% supply 17/07: TRONG đỉnh markup. px=0.068 (T+7). MM XẢ T+2→T+4 (19-21/07): pos_r 3.7→1.09, vol 1.4-6.5B/ngày. Khuôn L-12: kéo-trước-xả-vào-hype sau unlock.</t>
        </is>
      </c>
      <c r="C13" s="27" t="inlineStr">
        <is>
          <t>freshwatch + calib (probe 04/08)</t>
        </is>
      </c>
      <c r="D13" s="27" t="inlineStr">
        <is>
          <t>unlock = mốc xả MM; vol unlock = thanh khoản thoát</t>
        </is>
      </c>
    </row>
    <row r="14">
      <c r="A14" s="27" t="inlineStr">
        <is>
          <t>07-27 06:00</t>
        </is>
      </c>
      <c r="B14" s="27" t="inlineStr">
        <is>
          <t>px_max SPIKE 0.67205 USDT (1h native fapi). vol 299.72M USDT trong 1 nến. Close 0.419. Freshwatch daily avg 27/07=0.374. Wick spike — không phải close-based peak. px_max trước ghi 0.376 = WRONG.</t>
        </is>
      </c>
      <c r="C14" s="27" t="inlineStr">
        <is>
          <t>fapi 1h klines (probe H1 04/08)</t>
        </is>
      </c>
      <c r="D14" s="27" t="inlineStr">
        <is>
          <t>px_max thực = 0.672 spike, không phải 0.376 daily avg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22" customWidth="1" style="27" min="2" max="2"/>
    <col width="44" customWidth="1" style="27" min="3" max="3"/>
    <col width="40" customWidth="1" style="27" min="4" max="4"/>
    <col width="22" customWidth="1" style="27" min="5" max="5"/>
  </cols>
  <sheetData>
    <row r="1" ht="16.15" customHeight="1" s="28">
      <c r="A1" s="29" t="inlineStr">
        <is>
          <t>C. CHOT THEO DOI — doc moi ngay sau nen dong</t>
        </is>
      </c>
    </row>
    <row r="3" ht="15" customHeight="1" s="28">
      <c r="A3" s="53" t="inlineStr">
        <is>
          <t>#</t>
        </is>
      </c>
      <c r="B3" s="53" t="inlineStr">
        <is>
          <t>chot</t>
        </is>
      </c>
      <c r="C3" s="53" t="inlineStr">
        <is>
          <t>dieu_kien</t>
        </is>
      </c>
      <c r="D3" s="53" t="inlineStr">
        <is>
          <t>nghia_khi_bat</t>
        </is>
      </c>
      <c r="E3" s="53" t="inlineStr">
        <is>
          <t>trang_thai_hom_nay</t>
        </is>
      </c>
    </row>
    <row r="4" ht="15" customHeight="1" s="28">
      <c r="A4" s="32" t="inlineStr">
        <is>
          <t>1</t>
        </is>
      </c>
      <c r="B4" s="32" t="inlineStr">
        <is>
          <t>Dinh xac nhan</t>
        </is>
      </c>
      <c r="C4" s="32" t="inlineStr">
        <is>
          <t>gLSR -&gt;~1 hoac funding bung duong + parabol</t>
        </is>
      </c>
      <c r="D4" s="32" t="inlineStr">
        <is>
          <t>het nhien lieu</t>
        </is>
      </c>
      <c r="E4" s="33" t="inlineStr">
        <is>
          <t>PENDING</t>
        </is>
      </c>
    </row>
    <row r="5" ht="15" customHeight="1" s="28">
      <c r="A5" s="32" t="inlineStr">
        <is>
          <t>2</t>
        </is>
      </c>
      <c r="B5" s="32" t="inlineStr">
        <is>
          <t>Vong 2?</t>
        </is>
      </c>
      <c r="C5" s="32" t="inlineStr">
        <is>
          <t>pin moi + outflow tai nen moi + pos re-rate</t>
        </is>
      </c>
      <c r="D5" s="32" t="inlineStr">
        <is>
          <t>chien dich tai khoi dong</t>
        </is>
      </c>
      <c r="E5" s="33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7" min="1" max="1"/>
    <col width="11" customWidth="1" style="27" min="2" max="2"/>
    <col width="12" customWidth="1" style="27" min="3" max="3"/>
    <col width="9" customWidth="1" style="27" min="4" max="4"/>
    <col width="16" customWidth="1" style="27" min="5" max="5"/>
    <col width="13" customWidth="1" style="27" min="6" max="6"/>
    <col width="9" customWidth="1" style="27" min="7" max="7"/>
    <col width="42" customWidth="1" style="27" min="8" max="9"/>
  </cols>
  <sheetData>
    <row r="1" ht="16.15" customHeight="1" s="28">
      <c r="A1" s="29" t="inlineStr">
        <is>
          <t>E. OUTCOME — dien tai moc; verdict_check: verdict luc mo DUNG/SAI o diem nao</t>
        </is>
      </c>
    </row>
    <row r="3" ht="15" customHeight="1" s="28">
      <c r="A3" s="53" t="inlineStr">
        <is>
          <t>moc</t>
        </is>
      </c>
      <c r="B3" s="53" t="inlineStr">
        <is>
          <t>ngay_han</t>
        </is>
      </c>
      <c r="C3" s="53" t="inlineStr">
        <is>
          <t>px</t>
        </is>
      </c>
      <c r="D3" s="53" t="inlineStr">
        <is>
          <t>ret_pct</t>
        </is>
      </c>
      <c r="E3" s="53" t="inlineStr">
        <is>
          <t>drawup_drawdown</t>
        </is>
      </c>
      <c r="F3" s="53" t="inlineStr">
        <is>
          <t>oi_usd</t>
        </is>
      </c>
      <c r="G3" s="53" t="inlineStr">
        <is>
          <t>gLSR</t>
        </is>
      </c>
      <c r="H3" s="53" t="inlineStr">
        <is>
          <t>dien_bien</t>
        </is>
      </c>
      <c r="I3" s="53" t="inlineStr">
        <is>
          <t>verdict_check</t>
        </is>
      </c>
    </row>
    <row r="4" ht="15" customHeight="1" s="28">
      <c r="A4" s="32" t="inlineStr">
        <is>
          <t>T+14</t>
        </is>
      </c>
      <c r="B4" s="32" t="inlineStr">
        <is>
          <t>2026-07-24</t>
        </is>
      </c>
      <c r="C4" s="33" t="n">
        <v>0.28339</v>
      </c>
      <c r="D4" s="33" t="inlineStr">
        <is>
          <t>+651.1%</t>
        </is>
      </c>
      <c r="E4" s="33" t="inlineStr">
        <is>
          <t>spike_high=0.672 ngày 27/07 (wick); close_max=0.419; daily_avg_max=0.376 (26/07)</t>
        </is>
      </c>
      <c r="F4" s="33" t="n">
        <v>51120000</v>
      </c>
      <c r="G4" s="33" t="n">
        <v>0.5</v>
      </c>
      <c r="H4" s="33" t="inlineStr">
        <is>
          <t>px van cao (24/07 avg 0.283), OI 51M, gLSR 0.500 — POST dang sap</t>
        </is>
      </c>
      <c r="I4" s="33" t="n"/>
    </row>
    <row r="5" ht="15" customHeight="1" s="28">
      <c r="A5" s="32" t="inlineStr">
        <is>
          <t>T+30</t>
        </is>
      </c>
      <c r="B5" s="32" t="inlineStr">
        <is>
          <t>2026-08-09</t>
        </is>
      </c>
      <c r="C5" s="65" t="n">
        <v>0.0495</v>
      </c>
      <c r="D5" s="33" t="inlineStr">
        <is>
          <t>+31.3% vs T0=0.0377</t>
        </is>
      </c>
      <c r="E5" s="33" t="inlineStr">
        <is>
          <t>Tu +897% dinh (0.672, 27/07 wick) ve +31.3%. advisor exit VWAP 0.1971 -&gt; px_now/exit = -74.9%. Crowd giu tui -73.4% tu exit.</t>
        </is>
      </c>
      <c r="F5" s="33" t="n"/>
      <c r="G5" s="33" t="n"/>
      <c r="H5" s="33" t="n"/>
      <c r="I5" s="33" t="inlineStr">
        <is>
          <t>MUA_T0_DUNG — exit advisor 19-21/07 chuan xac</t>
        </is>
      </c>
    </row>
    <row r="6" ht="15" customHeight="1" s="28">
      <c r="A6" s="32" t="inlineStr">
        <is>
          <t>T+60</t>
        </is>
      </c>
      <c r="B6" s="32" t="inlineStr">
        <is>
          <t>2026-09-08</t>
        </is>
      </c>
      <c r="C6" s="33" t="n"/>
      <c r="D6" s="33" t="n"/>
      <c r="E6" s="33" t="n"/>
      <c r="F6" s="33" t="n"/>
      <c r="G6" s="33" t="n"/>
      <c r="H6" s="33" t="n"/>
      <c r="I6" s="33" t="n"/>
    </row>
    <row r="8">
      <c r="A8" s="27" t="inlineStr">
        <is>
          <t>NOTE</t>
        </is>
      </c>
      <c r="B8" s="27" t="inlineStr">
        <is>
          <t>px_max SỬA (probe H1 04/08): 1h spike high = 0.67205 (27/07 06:00 UTC, 299M USDT). Daily avg max = 0.37632 (26/07 freshwatch). Close max = 0.41958 (27/07). Markup từ T0 (0.03773): +1681% spike / +897% daily avg / +1012% close.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I. MM / OPERATOR PROFILE — van tay hanh vi (moi MM danh mot kieu)</t>
        </is>
      </c>
    </row>
    <row r="3" ht="15" customHeight="1" s="28">
      <c r="A3" s="31" t="inlineStr">
        <is>
          <t>MM cong bo / nghi van</t>
        </is>
      </c>
      <c r="B3" s="33" t="inlineStr">
        <is>
          <t>unknown — chua tra ho so listing (PENDING)</t>
        </is>
      </c>
    </row>
    <row r="4" ht="15" customHeight="1" s="28">
      <c r="A4" s="31" t="inlineStr">
        <is>
          <t>MM_ID (so chung)</t>
        </is>
      </c>
      <c r="B4" s="32" t="inlineStr">
        <is>
          <t>MM-BIDWALK-A (5/5 van tay)</t>
        </is>
      </c>
    </row>
    <row r="5" ht="15" customHeight="1" s="28">
      <c r="A5" s="31" t="inlineStr">
        <is>
          <t>Van tay funding</t>
        </is>
      </c>
      <c r="B5" s="32" t="inlineStr">
        <is>
          <t>pin tuyet doi, ke ca xuyen +580%; hai lan ho nhe co chu dich</t>
        </is>
      </c>
    </row>
    <row r="6" ht="15" customHeight="1" s="28">
      <c r="A6" s="31" t="inlineStr">
        <is>
          <t>Van tay markup</t>
        </is>
      </c>
      <c r="B6" s="32" t="inlineStr">
        <is>
          <t>bid-walk stealth — khong ngay nao taker&gt;=55 ke ca vol $1.6B</t>
        </is>
      </c>
    </row>
    <row r="7" ht="15" customHeight="1" s="28">
      <c r="A7" s="31" t="inlineStr">
        <is>
          <t>Ky thuat quan crowd</t>
        </is>
      </c>
      <c r="B7" s="32" t="inlineStr">
        <is>
          <t>bait-probe (02/07) — day crowd short lam nhien lieu</t>
        </is>
      </c>
    </row>
    <row r="8" ht="15" customHeight="1" s="28">
      <c r="A8" s="31" t="inlineStr">
        <is>
          <t>Ky thuat moi on-chain</t>
        </is>
      </c>
      <c r="B8" s="32" t="inlineStr">
        <is>
          <t>chua thay (on-chain gan nhu cam — dominance ~80%)</t>
        </is>
      </c>
    </row>
    <row r="9" ht="15" customHeight="1" s="28">
      <c r="A9" s="31" t="inlineStr">
        <is>
          <t>Venue</t>
        </is>
      </c>
      <c r="B9" s="32" t="inlineStr">
        <is>
          <t>Binance perp la san chinh</t>
        </is>
      </c>
    </row>
    <row r="10" ht="15" customHeight="1" s="28">
      <c r="A10" s="31" t="inlineStr">
        <is>
          <t>Cross-campaign</t>
        </is>
      </c>
      <c r="B10" s="32" t="inlineStr">
        <is>
          <t>nghi HUMA/AT cung playbook (div~8 + pin + controlled-fill)</t>
        </is>
      </c>
    </row>
    <row r="11" ht="15" customHeight="1" s="28">
      <c r="A11" s="31" t="inlineStr">
        <is>
          <t>Ung xu voi minh</t>
        </is>
      </c>
      <c r="B11" s="33" t="inlineStr">
        <is>
          <t>PENDING — theo doi playbook co doi sau khi bi bat bai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7" min="1" max="1"/>
    <col width="95" customWidth="1" style="27" min="2" max="2"/>
  </cols>
  <sheetData>
    <row r="1" ht="16.15" customHeight="1" s="28">
      <c r="A1" s="29" t="inlineStr">
        <is>
          <t>J. TOKENOMICS / UNLOCK — dong cung co lich, MM danh quanh no</t>
        </is>
      </c>
    </row>
    <row r="3" ht="15" customHeight="1" s="28">
      <c r="A3" s="31" t="inlineStr">
        <is>
          <t>Circulating / Total</t>
        </is>
      </c>
      <c r="B3" s="33" t="inlineStr">
        <is>
          <t>PENDING (operator feed)</t>
        </is>
      </c>
    </row>
    <row r="4" ht="15" customHeight="1" s="28">
      <c r="A4" s="31" t="inlineStr">
        <is>
          <t>Nguon tra</t>
        </is>
      </c>
      <c r="B4" s="33" t="inlineStr">
        <is>
          <t>operator 04/08/2026 — CryptoRank/TokenUnlocks</t>
        </is>
      </c>
    </row>
    <row r="5" ht="15" customHeight="1" s="28">
      <c r="A5" s="31" t="inlineStr">
        <is>
          <t>Unlock KE TIEP</t>
        </is>
      </c>
      <c r="B5" s="33" t="inlineStr">
        <is>
          <t>17/08/2026 (T+38 từ T0 10/07) — ~2% supply/tháng</t>
        </is>
      </c>
    </row>
    <row r="6" ht="15" customHeight="1" s="28">
      <c r="A6" s="31" t="inlineStr">
        <is>
          <t>Unlock 90 ngay toi</t>
        </is>
      </c>
      <c r="B6" s="33" t="inlineStr">
        <is>
          <t>17/08 · 17/09 · 17/10 (~2%/tháng mỗi lần)</t>
        </is>
      </c>
    </row>
    <row r="7" ht="15" customHeight="1" s="28">
      <c r="A7" s="31" t="inlineStr">
        <is>
          <t>Cliff da qua gan nhat</t>
        </is>
      </c>
      <c r="B7" s="33" t="inlineStr">
        <is>
          <t>17/07/2026 — KHỚP exact với exit window 19-21/07 (T+7→T+9)</t>
        </is>
      </c>
    </row>
    <row r="8" ht="15" customHeight="1" s="28">
      <c r="A8" s="31" t="inlineStr">
        <is>
          <t>Doc</t>
        </is>
      </c>
      <c r="B8" s="33" t="inlineStr">
        <is>
          <t>Khuôn L-12: MM xả T+2→T+4 sau unlock 17/07. Cảnh báo 17/08.</t>
        </is>
      </c>
    </row>
    <row r="10">
      <c r="A10" s="55">
        <f>== UNLOCK CALENDAR (operator 04/08) ===</f>
        <v/>
      </c>
    </row>
    <row r="11">
      <c r="A11" s="27" t="inlineStr">
        <is>
          <t>17/06/2026</t>
        </is>
      </c>
      <c r="B11" s="27" t="inlineStr">
        <is>
          <t>[PAST] Quanh 17/06: KHÔNG có markup. Trước đó 05-08/06 vol spike 50M→41M (mini-pump T-10 đến T-9). Funding BURST 08/06 (23.4bps). Unlock chính ngày 17/06 = QUIET (vol 1.6M). Sau 17/06: px giảm -8% đến 22/06. Pattern = đè-sau-unlock (chưa campaign).</t>
        </is>
      </c>
    </row>
    <row r="12">
      <c r="A12" s="27" t="inlineStr">
        <is>
          <t>17/07/2026</t>
        </is>
      </c>
      <c r="B12" s="27" t="inlineStr">
        <is>
          <t>[PAST — KHỚP CAMPAIGN] Unlock T+7 từ T0 (10/07). Trong đỉnh markup (+280% đến ngày này). MM XẢ T+2→T+4 sau unlock: pos_r 3.7→1.09 (19-21/07). KẾT LUẬN: unlock là mốc xả — MM dùng vol unlock làm thanh khoản thoát.</t>
        </is>
      </c>
    </row>
    <row r="13">
      <c r="A13" s="27" t="inlineStr">
        <is>
          <t>17/08/2026</t>
        </is>
      </c>
      <c r="B13" s="27" t="inlineStr">
        <is>
          <t>[UPCOMING — T+38 từ T0] CẢNH BÁO: token đang SUPPRESSED (px 0.043 = -93.6% từ spike 0.672). Nếu khuôn lặp: cửa sổ bait = 02/08→17/08. NHƯNG: pos_r chưa reset, không có bằng chứng MM build mới. → Theo dõi như RỦI RO (không phải cơ hội). Operator quyết.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2026-07-29T03:24:04Z</dcterms:created>
  <dcterms:modified xsi:type="dcterms:W3CDTF">2026-08-17T07:46:15Z</dcterms:modified>
  <cp:revision>0</cp:revision>
</cp:coreProperties>
</file>